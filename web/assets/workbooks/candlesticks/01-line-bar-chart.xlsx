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Chart" sheetId="4" state="visible" r:id="rId6"/>
    <sheet name="Answer 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<sst xmlns="http://schemas.openxmlformats.org/spreadsheetml/2006/main" count="51" uniqueCount="39">
  <si>
    <t xml:space="preserve">Practice: Line, Bar and Candlestick Charts</t>
  </si>
  <si>
    <t xml:space="preserve">Basics of Candlesticks course · Illustrative practice data (prices in AED)</t>
  </si>
  <si>
    <t xml:space="preserve">Your task</t>
  </si>
  <si>
    <t xml:space="preserve">1. For each day, calculate the range: High minus Low</t>
  </si>
  <si>
    <t xml:space="preserve">2. Decide whether the day closed Up, Down or Flat</t>
  </si>
  <si>
    <t xml:space="preserve">3. Open the Chart tab to see the same data as candles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</si>
  <si>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</si>
  <si>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</si>
  <si>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</si>
  <si>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</si>
  <si>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Read the Price Table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</si>
  <si>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</si>
  <si>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</si>
  <si>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</si>
  <si>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</si>
  <si>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</si>
  <si>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</si>
  <si>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Range (High − Low)</t>
  </si>
  <si>
    <t xml:space="preserve">Check</t>
  </si>
  <si>
    <t xml:space="preserve">Close vs Open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</si>
  <si>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</si>
  <si>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</si>
  <si>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</si>
  <si>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</si>
  <si>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</si>
  <si>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</si>
  <si>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Which chart type shows only the closing prices, joined together?  A) Candlestick chart   B) Bar chart   C) All three   D) Line chart</t>
  </si>
  <si>
    <t xml:space="preserve">A line chart shows the high and low of each day.</t>
  </si>
  <si>
    <t xml:space="preserve">Bar charts and candlestick charts show the same four prices.</t>
  </si>
  <si>
    <t xml:space="preserve">Candle colour shows who won the period.</t>
  </si>
  <si>
    <t xml:space="preserve">Candlesticks were invented for US stocks.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</si>
  <si>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</si>
  <si>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</si>
  <si>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</si>
  <si>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</si>
  <si>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Quiz answers</t>
  </si>
  <si>
    <t xml:space="preserve">D</t>
  </si>
  <si>
    <t xml:space="preserve">False</t>
  </si>
  <si>
    <t xml:space="preserve">True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</si>
</sst>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Practice!$B$5:$B$14</c:f>
              <c:numCache>
                <c:formatCode>0.00</c:formatCode>
                <c:ptCount val="10"/>
                <c:pt idx="0">
                  <c:v>20</c:v>
                </c:pt>
                <c:pt idx="1">
                  <c:v>20.18</c:v>
                </c:pt>
                <c:pt idx="2">
                  <c:v>19.7</c:v>
                </c:pt>
                <c:pt idx="3">
                  <c:v>19.86</c:v>
                </c:pt>
                <c:pt idx="4">
                  <c:v>20.36</c:v>
                </c:pt>
                <c:pt idx="5">
                  <c:v>20.36</c:v>
                </c:pt>
                <c:pt idx="6">
                  <c:v>20.15</c:v>
                </c:pt>
                <c:pt idx="7">
                  <c:v>19.57</c:v>
                </c:pt>
                <c:pt idx="8">
                  <c:v>19.82</c:v>
                </c:pt>
                <c:pt idx="9">
                  <c:v>20.26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Practice!$C$5:$C$14</c:f>
              <c:numCache>
                <c:formatCode>0.00</c:formatCode>
                <c:ptCount val="10"/>
                <c:pt idx="0">
                  <c:v>20.23</c:v>
                </c:pt>
                <c:pt idx="1">
                  <c:v>20.24</c:v>
                </c:pt>
                <c:pt idx="2">
                  <c:v>19.88</c:v>
                </c:pt>
                <c:pt idx="3">
                  <c:v>20.52</c:v>
                </c:pt>
                <c:pt idx="4">
                  <c:v>20.68</c:v>
                </c:pt>
                <c:pt idx="5">
                  <c:v>20.43</c:v>
                </c:pt>
                <c:pt idx="6">
                  <c:v>20.27</c:v>
                </c:pt>
                <c:pt idx="7">
                  <c:v>19.91</c:v>
                </c:pt>
                <c:pt idx="8">
                  <c:v>20.29</c:v>
                </c:pt>
                <c:pt idx="9">
                  <c:v>20.94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Practice!$D$5:$D$14</c:f>
              <c:numCache>
                <c:formatCode>0.00</c:formatCode>
                <c:ptCount val="10"/>
                <c:pt idx="0">
                  <c:v>19.91</c:v>
                </c:pt>
                <c:pt idx="1">
                  <c:v>19.67</c:v>
                </c:pt>
                <c:pt idx="2">
                  <c:v>19.06</c:v>
                </c:pt>
                <c:pt idx="3">
                  <c:v>19.69</c:v>
                </c:pt>
                <c:pt idx="4">
                  <c:v>20.04</c:v>
                </c:pt>
                <c:pt idx="5">
                  <c:v>20.06</c:v>
                </c:pt>
                <c:pt idx="6">
                  <c:v>19.44</c:v>
                </c:pt>
                <c:pt idx="7">
                  <c:v>19.47</c:v>
                </c:pt>
                <c:pt idx="8">
                  <c:v>19.69</c:v>
                </c:pt>
                <c:pt idx="9">
                  <c:v>20.08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Practice!$E$5:$E$14</c:f>
              <c:numCache>
                <c:formatCode>0.00</c:formatCode>
                <c:ptCount val="10"/>
                <c:pt idx="0">
                  <c:v>20.18</c:v>
                </c:pt>
                <c:pt idx="1">
                  <c:v>19.74</c:v>
                </c:pt>
                <c:pt idx="2">
                  <c:v>19.86</c:v>
                </c:pt>
                <c:pt idx="3">
                  <c:v>20.36</c:v>
                </c:pt>
                <c:pt idx="4">
                  <c:v>20.36</c:v>
                </c:pt>
                <c:pt idx="5">
                  <c:v>20.15</c:v>
                </c:pt>
                <c:pt idx="6">
                  <c:v>19.57</c:v>
                </c:pt>
                <c:pt idx="7">
                  <c:v>19.82</c:v>
                </c:pt>
                <c:pt idx="8">
                  <c:v>20.22</c:v>
                </c:pt>
                <c:pt idx="9">
                  <c:v>20.1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68568838"/>
        <c:axId val="98019706"/>
      </c:stockChart>
      <c:catAx>
        <c:axId val="68568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19706"/>
        <c:crosses val="autoZero"/>
        <c:auto val="1"/>
        <c:lblAlgn val="ctr"/>
        <c:lblOffset val="100"/>
        <c:noMultiLvlLbl val="0"/>
      </c:catAx>
      <c:valAx>
        <c:axId val="98019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688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6.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20.23</v>
      </c>
      <c r="D5" s="8" t="n">
        <v>19.91</v>
      </c>
      <c r="E5" s="8" t="n">
        <v>20.18</v>
      </c>
      <c r="F5" s="9"/>
      <c r="G5" s="10" t="str">
        <f aca="false">IF(F5="","",IF(ROUND(F5,2)=ROUND('Answer Key'!F5,2),"✓","Try again"))</f>
        <v/>
      </c>
      <c r="H5" s="11"/>
      <c r="I5" s="10" t="str">
        <f aca="false">IF(H5="","",IF(H5='Answer Key'!G5,"✓","Try again"))</f>
        <v/>
      </c>
    </row>
    <row r="6" customFormat="false" ht="15" hidden="false" customHeight="false" outlineLevel="0" collapsed="false">
      <c r="A6" s="7" t="n">
        <v>2</v>
      </c>
      <c r="B6" s="8" t="n">
        <v>20.18</v>
      </c>
      <c r="C6" s="8" t="n">
        <v>20.24</v>
      </c>
      <c r="D6" s="8" t="n">
        <v>19.67</v>
      </c>
      <c r="E6" s="8" t="n">
        <v>19.74</v>
      </c>
      <c r="F6" s="9"/>
      <c r="G6" s="10" t="str">
        <f aca="false">IF(F6="","",IF(ROUND(F6,2)=ROUND('Answer Key'!F6,2),"✓","Try again"))</f>
        <v/>
      </c>
      <c r="H6" s="11"/>
      <c r="I6" s="10" t="str">
        <f aca="false">IF(H6="","",IF(H6='Answer Key'!G6,"✓","Try again"))</f>
        <v/>
      </c>
    </row>
    <row r="7" customFormat="false" ht="15" hidden="false" customHeight="false" outlineLevel="0" collapsed="false">
      <c r="A7" s="7" t="n">
        <v>3</v>
      </c>
      <c r="B7" s="8" t="n">
        <v>19.7</v>
      </c>
      <c r="C7" s="8" t="n">
        <v>19.88</v>
      </c>
      <c r="D7" s="8" t="n">
        <v>19.06</v>
      </c>
      <c r="E7" s="8" t="n">
        <v>19.86</v>
      </c>
      <c r="F7" s="9"/>
      <c r="G7" s="10" t="str">
        <f aca="false">IF(F7="","",IF(ROUND(F7,2)=ROUND('Answer Key'!F7,2),"✓","Try again"))</f>
        <v/>
      </c>
      <c r="H7" s="11"/>
      <c r="I7" s="10" t="str">
        <f aca="false">IF(H7="","",IF(H7='Answer Key'!G7,"✓","Try again"))</f>
        <v/>
      </c>
    </row>
    <row r="8" customFormat="false" ht="15" hidden="false" customHeight="false" outlineLevel="0" collapsed="false">
      <c r="A8" s="7" t="n">
        <v>4</v>
      </c>
      <c r="B8" s="8" t="n">
        <v>19.86</v>
      </c>
      <c r="C8" s="8" t="n">
        <v>20.52</v>
      </c>
      <c r="D8" s="8" t="n">
        <v>19.69</v>
      </c>
      <c r="E8" s="8" t="n">
        <v>20.36</v>
      </c>
      <c r="F8" s="9"/>
      <c r="G8" s="10" t="str">
        <f aca="false">IF(F8="","",IF(ROUND(F8,2)=ROUND('Answer Key'!F8,2),"✓","Try again"))</f>
        <v/>
      </c>
      <c r="H8" s="11"/>
      <c r="I8" s="10" t="str">
        <f aca="false">IF(H8="","",IF(H8='Answer Key'!G8,"✓","Try again"))</f>
        <v/>
      </c>
    </row>
    <row r="9" customFormat="false" ht="15" hidden="false" customHeight="false" outlineLevel="0" collapsed="false">
      <c r="A9" s="7" t="n">
        <v>5</v>
      </c>
      <c r="B9" s="8" t="n">
        <v>20.36</v>
      </c>
      <c r="C9" s="8" t="n">
        <v>20.68</v>
      </c>
      <c r="D9" s="8" t="n">
        <v>20.04</v>
      </c>
      <c r="E9" s="8" t="n">
        <v>20.36</v>
      </c>
      <c r="F9" s="9"/>
      <c r="G9" s="10" t="str">
        <f aca="false">IF(F9="","",IF(ROUND(F9,2)=ROUND('Answer Key'!F9,2),"✓","Try again"))</f>
        <v/>
      </c>
      <c r="H9" s="11"/>
      <c r="I9" s="10" t="str">
        <f aca="false">IF(H9="","",IF(H9='Answer Key'!G9,"✓","Try again"))</f>
        <v/>
      </c>
    </row>
    <row r="10" customFormat="false" ht="15" hidden="false" customHeight="false" outlineLevel="0" collapsed="false">
      <c r="A10" s="7" t="n">
        <v>6</v>
      </c>
      <c r="B10" s="8" t="n">
        <v>20.36</v>
      </c>
      <c r="C10" s="8" t="n">
        <v>20.43</v>
      </c>
      <c r="D10" s="8" t="n">
        <v>20.06</v>
      </c>
      <c r="E10" s="8" t="n">
        <v>20.15</v>
      </c>
      <c r="F10" s="9"/>
      <c r="G10" s="10" t="str">
        <f aca="false">IF(F10="","",IF(ROUND(F10,2)=ROUND('Answer Key'!F10,2),"✓","Try again"))</f>
        <v/>
      </c>
      <c r="H10" s="11"/>
      <c r="I10" s="10" t="str">
        <f aca="false">IF(H10="","",IF(H10='Answer Key'!G10,"✓","Try again"))</f>
        <v/>
      </c>
    </row>
    <row r="11" customFormat="false" ht="15" hidden="false" customHeight="false" outlineLevel="0" collapsed="false">
      <c r="A11" s="7" t="n">
        <v>7</v>
      </c>
      <c r="B11" s="8" t="n">
        <v>20.15</v>
      </c>
      <c r="C11" s="8" t="n">
        <v>20.27</v>
      </c>
      <c r="D11" s="8" t="n">
        <v>19.44</v>
      </c>
      <c r="E11" s="8" t="n">
        <v>19.57</v>
      </c>
      <c r="F11" s="9"/>
      <c r="G11" s="10" t="str">
        <f aca="false">IF(F11="","",IF(ROUND(F11,2)=ROUND('Answer Key'!F11,2),"✓","Try again"))</f>
        <v/>
      </c>
      <c r="H11" s="11"/>
      <c r="I11" s="10" t="str">
        <f aca="false">IF(H11="","",IF(H11='Answer Key'!G11,"✓","Try again"))</f>
        <v/>
      </c>
    </row>
    <row r="12" customFormat="false" ht="15" hidden="false" customHeight="false" outlineLevel="0" collapsed="false">
      <c r="A12" s="7" t="n">
        <v>8</v>
      </c>
      <c r="B12" s="8" t="n">
        <v>19.57</v>
      </c>
      <c r="C12" s="8" t="n">
        <v>19.91</v>
      </c>
      <c r="D12" s="8" t="n">
        <v>19.47</v>
      </c>
      <c r="E12" s="8" t="n">
        <v>19.82</v>
      </c>
      <c r="F12" s="9"/>
      <c r="G12" s="10" t="str">
        <f aca="false">IF(F12="","",IF(ROUND(F12,2)=ROUND('Answer Key'!F12,2),"✓","Try again"))</f>
        <v/>
      </c>
      <c r="H12" s="11"/>
      <c r="I12" s="10" t="str">
        <f aca="false">IF(H12="","",IF(H12='Answer Key'!G12,"✓","Try again"))</f>
        <v/>
      </c>
    </row>
    <row r="13" customFormat="false" ht="15" hidden="false" customHeight="false" outlineLevel="0" collapsed="false">
      <c r="A13" s="7" t="n">
        <v>9</v>
      </c>
      <c r="B13" s="8" t="n">
        <v>19.82</v>
      </c>
      <c r="C13" s="8" t="n">
        <v>20.29</v>
      </c>
      <c r="D13" s="8" t="n">
        <v>19.69</v>
      </c>
      <c r="E13" s="8" t="n">
        <v>20.22</v>
      </c>
      <c r="F13" s="9"/>
      <c r="G13" s="10" t="str">
        <f aca="false">IF(F13="","",IF(ROUND(F13,2)=ROUND('Answer Key'!F13,2),"✓","Try again"))</f>
        <v/>
      </c>
      <c r="H13" s="11"/>
      <c r="I13" s="10" t="str">
        <f aca="false">IF(H13="","",IF(H13='Answer Key'!G13,"✓","Try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20.26</v>
      </c>
      <c r="C14" s="8" t="n">
        <v>20.94</v>
      </c>
      <c r="D14" s="8" t="n">
        <v>20.08</v>
      </c>
      <c r="E14" s="8" t="n">
        <v>20.1</v>
      </c>
      <c r="F14" s="9"/>
      <c r="G14" s="10" t="str">
        <f aca="false">IF(F14="","",IF(ROUND(F14,2)=ROUND('Answer Key'!F14,2),"✓","Try again"))</f>
        <v/>
      </c>
      <c r="H14" s="11"/>
      <c r="I14" s="10" t="str">
        <f aca="false">IF(H14="","",IF(H14='Answer Key'!G14,"✓","Try again"))</f>
        <v/>
      </c>
    </row>
    <row r="16" customFormat="false" ht="15" hidden="false" customHeight="false" outlineLevel="0" collapsed="false">
      <c r="A16" s="12" t="s">
        <v>20</v>
      </c>
      <c r="B16" s="13" t="str">
        <f aca="false">(COUNTIF(G5:G14,"✓")+COUNTIF(I5:I14,"✓"))&amp;" / 20 correct"</f>
        <v>0 / 20 correct</v>
      </c>
    </row>
  </sheetData>
  <dataValidations count="1">
    <dataValidation allowBlank="true" errorStyle="stop" operator="between" showDropDown="false" showErrorMessage="false" showInputMessage="false" sqref="H5:H14" type="list">
      <formula1>"Up,Down,Flat"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18</v>
      </c>
    </row>
    <row r="5" customFormat="false" ht="48" hidden="false" customHeight="true" outlineLevel="0" collapsed="false">
      <c r="A5" s="7" t="n">
        <v>1</v>
      </c>
      <c r="B5" s="14" t="s">
        <v>26</v>
      </c>
      <c r="C5" s="11"/>
      <c r="D5" s="10" t="str">
        <f aca="false">IF(C5="","",IF(C5='Answer Key'!B21,"✓","Try again"))</f>
        <v/>
      </c>
    </row>
    <row r="6" customFormat="false" ht="21.75" hidden="false" customHeight="true" outlineLevel="0" collapsed="false">
      <c r="A6" s="7" t="n">
        <v>2</v>
      </c>
      <c r="B6" s="14" t="s">
        <v>27</v>
      </c>
      <c r="C6" s="11"/>
      <c r="D6" s="10" t="str">
        <f aca="false">IF(C6="","",IF(C6='Answer Key'!B22,"✓","Try again"))</f>
        <v/>
      </c>
    </row>
    <row r="7" customFormat="false" ht="21.75" hidden="false" customHeight="true" outlineLevel="0" collapsed="false">
      <c r="A7" s="7" t="n">
        <v>3</v>
      </c>
      <c r="B7" s="14" t="s">
        <v>28</v>
      </c>
      <c r="C7" s="11"/>
      <c r="D7" s="10" t="str">
        <f aca="false">IF(C7="","",IF(C7='Answer Key'!B23,"✓","Try again"))</f>
        <v/>
      </c>
    </row>
    <row r="8" customFormat="false" ht="21.75" hidden="false" customHeight="true" outlineLevel="0" collapsed="false">
      <c r="A8" s="7" t="n">
        <v>4</v>
      </c>
      <c r="B8" s="14" t="s">
        <v>29</v>
      </c>
      <c r="C8" s="11"/>
      <c r="D8" s="10" t="str">
        <f aca="false">IF(C8="","",IF(C8='Answer Key'!B24,"✓","Try again"))</f>
        <v/>
      </c>
    </row>
    <row r="9" customFormat="false" ht="21.75" hidden="false" customHeight="true" outlineLevel="0" collapsed="false">
      <c r="A9" s="7" t="n">
        <v>5</v>
      </c>
      <c r="B9" s="14" t="s">
        <v>30</v>
      </c>
      <c r="C9" s="11"/>
      <c r="D9" s="10" t="str">
        <f aca="false">IF(C9="","",IF(C9='Answer Key'!B25,"✓","Try again"))</f>
        <v/>
      </c>
    </row>
    <row r="11" customFormat="false" ht="15" hidden="false" customHeight="false" outlineLevel="0" collapsed="false">
      <c r="A11" s="12" t="s">
        <v>20</v>
      </c>
      <c r="B11" s="13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31</v>
      </c>
    </row>
    <row r="2" customFormat="false" ht="15" hidden="false" customHeight="false" outlineLevel="0" collapsed="false">
      <c r="A2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6.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2" t="s">
        <v>34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20.23</v>
      </c>
      <c r="D5" s="8" t="n">
        <v>19.91</v>
      </c>
      <c r="E5" s="8" t="n">
        <v>20.18</v>
      </c>
      <c r="F5" s="15" t="n">
        <f aca="false">C5-D5</f>
        <v>0.32</v>
      </c>
      <c r="G5" s="7" t="str">
        <f aca="false">IF(E5&gt;B5,"Up",IF(E5&lt;B5,"Down","Flat"))</f>
        <v>Up</v>
      </c>
    </row>
    <row r="6" customFormat="false" ht="15" hidden="false" customHeight="false" outlineLevel="0" collapsed="false">
      <c r="A6" s="7" t="n">
        <v>2</v>
      </c>
      <c r="B6" s="8" t="n">
        <v>20.18</v>
      </c>
      <c r="C6" s="8" t="n">
        <v>20.24</v>
      </c>
      <c r="D6" s="8" t="n">
        <v>19.67</v>
      </c>
      <c r="E6" s="8" t="n">
        <v>19.74</v>
      </c>
      <c r="F6" s="15" t="n">
        <f aca="false">C6-D6</f>
        <v>0.569999999999997</v>
      </c>
      <c r="G6" s="7" t="str">
        <f aca="false">IF(E6&gt;B6,"Up",IF(E6&lt;B6,"Down","Flat"))</f>
        <v>Down</v>
      </c>
    </row>
    <row r="7" customFormat="false" ht="15" hidden="false" customHeight="false" outlineLevel="0" collapsed="false">
      <c r="A7" s="7" t="n">
        <v>3</v>
      </c>
      <c r="B7" s="8" t="n">
        <v>19.7</v>
      </c>
      <c r="C7" s="8" t="n">
        <v>19.88</v>
      </c>
      <c r="D7" s="8" t="n">
        <v>19.06</v>
      </c>
      <c r="E7" s="8" t="n">
        <v>19.86</v>
      </c>
      <c r="F7" s="15" t="n">
        <f aca="false">C7-D7</f>
        <v>0.82</v>
      </c>
      <c r="G7" s="7" t="str">
        <f aca="false">IF(E7&gt;B7,"Up",IF(E7&lt;B7,"Down","Flat"))</f>
        <v>Up</v>
      </c>
    </row>
    <row r="8" customFormat="false" ht="15" hidden="false" customHeight="false" outlineLevel="0" collapsed="false">
      <c r="A8" s="7" t="n">
        <v>4</v>
      </c>
      <c r="B8" s="8" t="n">
        <v>19.86</v>
      </c>
      <c r="C8" s="8" t="n">
        <v>20.52</v>
      </c>
      <c r="D8" s="8" t="n">
        <v>19.69</v>
      </c>
      <c r="E8" s="8" t="n">
        <v>20.36</v>
      </c>
      <c r="F8" s="15" t="n">
        <f aca="false">C8-D8</f>
        <v>0.829999999999998</v>
      </c>
      <c r="G8" s="7" t="str">
        <f aca="false">IF(E8&gt;B8,"Up",IF(E8&lt;B8,"Down","Flat"))</f>
        <v>Up</v>
      </c>
    </row>
    <row r="9" customFormat="false" ht="15" hidden="false" customHeight="false" outlineLevel="0" collapsed="false">
      <c r="A9" s="7" t="n">
        <v>5</v>
      </c>
      <c r="B9" s="8" t="n">
        <v>20.36</v>
      </c>
      <c r="C9" s="8" t="n">
        <v>20.68</v>
      </c>
      <c r="D9" s="8" t="n">
        <v>20.04</v>
      </c>
      <c r="E9" s="8" t="n">
        <v>20.36</v>
      </c>
      <c r="F9" s="15" t="n">
        <f aca="false">C9-D9</f>
        <v>0.640000000000001</v>
      </c>
      <c r="G9" s="7" t="str">
        <f aca="false">IF(E9&gt;B9,"Up",IF(E9&lt;B9,"Down","Flat"))</f>
        <v>Flat</v>
      </c>
    </row>
    <row r="10" customFormat="false" ht="15" hidden="false" customHeight="false" outlineLevel="0" collapsed="false">
      <c r="A10" s="7" t="n">
        <v>6</v>
      </c>
      <c r="B10" s="8" t="n">
        <v>20.36</v>
      </c>
      <c r="C10" s="8" t="n">
        <v>20.43</v>
      </c>
      <c r="D10" s="8" t="n">
        <v>20.06</v>
      </c>
      <c r="E10" s="8" t="n">
        <v>20.15</v>
      </c>
      <c r="F10" s="15" t="n">
        <f aca="false">C10-D10</f>
        <v>0.370000000000001</v>
      </c>
      <c r="G10" s="7" t="str">
        <f aca="false">IF(E10&gt;B10,"Up",IF(E10&lt;B10,"Down","Flat"))</f>
        <v>Down</v>
      </c>
    </row>
    <row r="11" customFormat="false" ht="15" hidden="false" customHeight="false" outlineLevel="0" collapsed="false">
      <c r="A11" s="7" t="n">
        <v>7</v>
      </c>
      <c r="B11" s="8" t="n">
        <v>20.15</v>
      </c>
      <c r="C11" s="8" t="n">
        <v>20.27</v>
      </c>
      <c r="D11" s="8" t="n">
        <v>19.44</v>
      </c>
      <c r="E11" s="8" t="n">
        <v>19.57</v>
      </c>
      <c r="F11" s="15" t="n">
        <f aca="false">C11-D11</f>
        <v>0.829999999999998</v>
      </c>
      <c r="G11" s="7" t="str">
        <f aca="false">IF(E11&gt;B11,"Up",IF(E11&lt;B11,"Down","Flat"))</f>
        <v>Down</v>
      </c>
    </row>
    <row r="12" customFormat="false" ht="15" hidden="false" customHeight="false" outlineLevel="0" collapsed="false">
      <c r="A12" s="7" t="n">
        <v>8</v>
      </c>
      <c r="B12" s="8" t="n">
        <v>19.57</v>
      </c>
      <c r="C12" s="8" t="n">
        <v>19.91</v>
      </c>
      <c r="D12" s="8" t="n">
        <v>19.47</v>
      </c>
      <c r="E12" s="8" t="n">
        <v>19.82</v>
      </c>
      <c r="F12" s="15" t="n">
        <f aca="false">C12-D12</f>
        <v>0.440000000000001</v>
      </c>
      <c r="G12" s="7" t="str">
        <f aca="false">IF(E12&gt;B12,"Up",IF(E12&lt;B12,"Down","Flat"))</f>
        <v>Up</v>
      </c>
    </row>
    <row r="13" customFormat="false" ht="15" hidden="false" customHeight="false" outlineLevel="0" collapsed="false">
      <c r="A13" s="7" t="n">
        <v>9</v>
      </c>
      <c r="B13" s="8" t="n">
        <v>19.82</v>
      </c>
      <c r="C13" s="8" t="n">
        <v>20.29</v>
      </c>
      <c r="D13" s="8" t="n">
        <v>19.69</v>
      </c>
      <c r="E13" s="8" t="n">
        <v>20.22</v>
      </c>
      <c r="F13" s="15" t="n">
        <f aca="false">C13-D13</f>
        <v>0.599999999999998</v>
      </c>
      <c r="G13" s="7" t="str">
        <f aca="false">IF(E13&gt;B13,"Up",IF(E13&lt;B13,"Down","Flat"))</f>
        <v>Up</v>
      </c>
    </row>
    <row r="14" customFormat="false" ht="15" hidden="false" customHeight="false" outlineLevel="0" collapsed="false">
      <c r="A14" s="7" t="n">
        <v>10</v>
      </c>
      <c r="B14" s="8" t="n">
        <v>20.26</v>
      </c>
      <c r="C14" s="8" t="n">
        <v>20.94</v>
      </c>
      <c r="D14" s="8" t="n">
        <v>20.08</v>
      </c>
      <c r="E14" s="8" t="n">
        <v>20.1</v>
      </c>
      <c r="F14" s="15" t="n">
        <f aca="false">C14-D14</f>
        <v>0.860000000000003</v>
      </c>
      <c r="G14" s="7" t="str">
        <f aca="false">IF(E14&gt;B14,"Up",IF(E14&lt;B14,"Down","Flat"))</f>
        <v>Down</v>
      </c>
    </row>
    <row r="20" customFormat="false" ht="15" hidden="false" customHeight="false" outlineLevel="0" collapsed="false">
      <c r="A20" s="13" t="s">
        <v>35</v>
      </c>
    </row>
    <row r="21" customFormat="false" ht="15" hidden="false" customHeight="false" outlineLevel="0" collapsed="false">
      <c r="A21" s="7" t="n">
        <v>1</v>
      </c>
      <c r="B21" s="7" t="s">
        <v>36</v>
      </c>
    </row>
    <row r="22" customFormat="false" ht="15" hidden="false" customHeight="false" outlineLevel="0" collapsed="false">
      <c r="A22" s="7" t="n">
        <v>2</v>
      </c>
      <c r="B22" s="7" t="s">
        <v>37</v>
      </c>
    </row>
    <row r="23" customFormat="false" ht="15" hidden="false" customHeight="false" outlineLevel="0" collapsed="false">
      <c r="A23" s="7" t="n">
        <v>3</v>
      </c>
      <c r="B23" s="7" t="s">
        <v>38</v>
      </c>
    </row>
    <row r="24" customFormat="false" ht="15" hidden="false" customHeight="false" outlineLevel="0" collapsed="false">
      <c r="A24" s="7" t="n">
        <v>4</v>
      </c>
      <c r="B24" s="7" t="s">
        <v>38</v>
      </c>
    </row>
    <row r="25" customFormat="false" ht="15" hidden="false" customHeight="false" outlineLevel="0" collapsed="false">
      <c r="A25" s="7" t="n">
        <v>5</v>
      </c>
      <c r="B25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2026-10-11T13:43:09Z</dcterms:created>
  <dc:creator>openpyxl</dc:creator>
  <dc:description/>
  <dc:language>en-US</dc:language>
  <cp:lastModifiedBy/>
  <dcterms:modified xsi:type="dcterms:W3CDTF">2026-10-11T13:43:26Z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