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Chart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<sst xmlns="http://schemas.openxmlformats.org/spreadsheetml/2006/main" count="46" uniqueCount="34">
  <si>
    <t xml:space="preserve">Practice: Anatomy of a Candle</t>
  </si>
  <si>
    <t xml:space="preserve">Basics of Candlesticks course · Illustrative practice data (prices in AED)</t>
  </si>
  <si>
    <t xml:space="preserve">Your task</t>
  </si>
  <si>
    <t xml:space="preserve">1. Go to the 'Practice' tab. Each row is one trading day with its Open, High, Low and Close.</t>
  </si>
  <si>
    <t xml:space="preserve">2. In the yellow cells, choose the candle type (Bullish, Bearish or Doji) from the dropdown.</t>
  </si>
  <si>
    <t xml:space="preserve">3. Calculate the Body, Upper wick and Lower wick. Type a number or write a formula.</t>
  </si>
  <si>
    <t xml:space="preserve">4. The Check columns show ✓ when your answer is correct, or 'Try again'.</t>
  </si>
  <si>
    <t xml:space="preserve">5. Open the 'Chart' tab to see the 10 days drawn as candles.</t>
  </si>
  <si>
    <t xml:space="preserve">6. Stuck? The 'Answer Key' tab has every answer worked out with formulas.</t>
  </si>
  <si>
    <t xml:space="preserve">The formulas</t>
  </si>
  <si>
    <t xml:space="preserve">Body = ABS(Close − Open)</t>
  </si>
  <si>
    <t xml:space="preserve">Upper wick = High − MAX(Open, Close)</t>
  </si>
  <si>
    <t xml:space="preserve">Lower wick = MIN(Open, Close) − Low</t>
  </si>
  <si>
    <t xml:space="preserve">Bullish if Close &gt; Open · Bearish if Close &lt; Open · Doji if Close = Open</t>
  </si>
  <si>
    <t xml:space="preserve">Legend: yellow cells = your answers. All other cells are fixed.</t>
  </si>
  <si>
    <t xml:space="preserve">This workbook is for education only and is not investment advice.</t>
  </si>
  <si>
    <t xml:space="preserve">Practice: Read the Candles</t>
  </si>
  <si>
    <t xml:space="preserve">Fill in the yellow cells. Prices in AED (illustrative data).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</si>
  <si>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</si>
  <si>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</si>
  <si>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</si>
  <si>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</si>
  <si>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</si>
  <si>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Candle type</t>
  </si>
  <si>
    <t xml:space="preserve">Check</t>
  </si>
  <si>
    <t xml:space="preserve">Body</t>
  </si>
  <si>
    <t xml:space="preserve">Upper wick</t>
  </si>
  <si>
    <t xml:space="preserve">Lower wick</t>
  </si>
  <si>
    <t xml:space="preserve">Score</t>
  </si>
  <si>
    <t xml:space="preserve">Example: Day 1 opened at 5.20 and closed at 5.42, so it is Bullish with a body of 0.22, an upper wick of 0.06 and a lower wick of 0.08.</t>
  </si>
  <si>
    <t xml:space="preserve">Your 10 Days as Candles</t>
  </si>
  <si>
    <t xml:space="preserve">Green bars: close above open. Red bars: close below open. Lines show the high and low.</t>
  </si>
  <si>
    <t xml:space="preserve">Answer Key</t>
  </si>
  <si>
    <t xml:space="preserve">All values calculated with formulas from the Practice tab prices.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</si>
</sst>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1"/>
      <name val="Courier New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Practice!$B$5:$B$14</c:f>
              <c:numCache>
                <c:formatCode>0.00</c:formatCode>
                <c:ptCount val="10"/>
                <c:pt idx="0">
                  <c:v>5.2</c:v>
                </c:pt>
                <c:pt idx="1">
                  <c:v>5.42</c:v>
                </c:pt>
                <c:pt idx="2">
                  <c:v>5.35</c:v>
                </c:pt>
                <c:pt idx="3">
                  <c:v>5.1</c:v>
                </c:pt>
                <c:pt idx="4">
                  <c:v>5.22</c:v>
                </c:pt>
                <c:pt idx="5">
                  <c:v>5.24</c:v>
                </c:pt>
                <c:pt idx="6">
                  <c:v>5.5</c:v>
                </c:pt>
                <c:pt idx="7">
                  <c:v>5.68</c:v>
                </c:pt>
                <c:pt idx="8">
                  <c:v>5.62</c:v>
                </c:pt>
                <c:pt idx="9">
                  <c:v>5.45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Practice!$C$5:$C$14</c:f>
              <c:numCache>
                <c:formatCode>0.00</c:formatCode>
                <c:ptCount val="10"/>
                <c:pt idx="0">
                  <c:v>5.48</c:v>
                </c:pt>
                <c:pt idx="1">
                  <c:v>5.6</c:v>
                </c:pt>
                <c:pt idx="2">
                  <c:v>5.38</c:v>
                </c:pt>
                <c:pt idx="3">
                  <c:v>5.25</c:v>
                </c:pt>
                <c:pt idx="4">
                  <c:v>5.4</c:v>
                </c:pt>
                <c:pt idx="5">
                  <c:v>5.55</c:v>
                </c:pt>
                <c:pt idx="6">
                  <c:v>5.72</c:v>
                </c:pt>
                <c:pt idx="7">
                  <c:v>5.9</c:v>
                </c:pt>
                <c:pt idx="8">
                  <c:v>5.66</c:v>
                </c:pt>
                <c:pt idx="9">
                  <c:v>5.58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Practice!$D$5:$D$14</c:f>
              <c:numCache>
                <c:formatCode>0.00</c:formatCode>
                <c:ptCount val="10"/>
                <c:pt idx="0">
                  <c:v>5.12</c:v>
                </c:pt>
                <c:pt idx="1">
                  <c:v>5.3</c:v>
                </c:pt>
                <c:pt idx="2">
                  <c:v>5.05</c:v>
                </c:pt>
                <c:pt idx="3">
                  <c:v>4.92</c:v>
                </c:pt>
                <c:pt idx="4">
                  <c:v>5.18</c:v>
                </c:pt>
                <c:pt idx="5">
                  <c:v>5.2</c:v>
                </c:pt>
                <c:pt idx="6">
                  <c:v>5.46</c:v>
                </c:pt>
                <c:pt idx="7">
                  <c:v>5.6</c:v>
                </c:pt>
                <c:pt idx="8">
                  <c:v>5.4</c:v>
                </c:pt>
                <c:pt idx="9">
                  <c:v>5.38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Practice!$E$5:$E$14</c:f>
              <c:numCache>
                <c:formatCode>0.00</c:formatCode>
                <c:ptCount val="10"/>
                <c:pt idx="0">
                  <c:v>5.42</c:v>
                </c:pt>
                <c:pt idx="1">
                  <c:v>5.35</c:v>
                </c:pt>
                <c:pt idx="2">
                  <c:v>5.1</c:v>
                </c:pt>
                <c:pt idx="3">
                  <c:v>5.22</c:v>
                </c:pt>
                <c:pt idx="4">
                  <c:v>5.22</c:v>
                </c:pt>
                <c:pt idx="5">
                  <c:v>5.5</c:v>
                </c:pt>
                <c:pt idx="6">
                  <c:v>5.68</c:v>
                </c:pt>
                <c:pt idx="7">
                  <c:v>5.62</c:v>
                </c:pt>
                <c:pt idx="8">
                  <c:v>5.45</c:v>
                </c:pt>
                <c:pt idx="9">
                  <c:v>5.55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83975869"/>
        <c:axId val="60083806"/>
      </c:stockChart>
      <c:catAx>
        <c:axId val="839758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83806"/>
        <c:crosses val="autoZero"/>
        <c:auto val="1"/>
        <c:lblAlgn val="ctr"/>
        <c:lblOffset val="100"/>
        <c:noMultiLvlLbl val="0"/>
      </c:catAx>
      <c:valAx>
        <c:axId val="60083806"/>
        <c:scaling>
          <c:orientation val="minMax"/>
          <c:max val="6"/>
          <c:min val="4.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758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14</xdr:col>
      <xdr:colOff>77760</xdr:colOff>
      <xdr:row>25</xdr:row>
      <xdr:rowOff>98280</xdr:rowOff>
    </xdr:to>
    <xdr:graphicFrame>
      <xdr:nvGraphicFramePr>
        <xdr:cNvPr id="0" name="Chart 1"/>
        <xdr:cNvGraphicFramePr/>
      </xdr:nvGraphicFramePr>
      <xdr:xfrm>
        <a:off x="0" y="571680"/>
        <a:ext cx="863892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5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6" t="s">
        <v>12</v>
      </c>
    </row>
    <row r="16" customFormat="false" ht="15" hidden="false" customHeight="false" outlineLevel="0" collapsed="false">
      <c r="A16" s="6" t="s">
        <v>13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5" min="2" style="1" width="9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13" min="9" style="1" width="1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3" t="s">
        <v>17</v>
      </c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25</v>
      </c>
      <c r="I4" s="8" t="s">
        <v>24</v>
      </c>
      <c r="J4" s="8" t="s">
        <v>26</v>
      </c>
      <c r="K4" s="8" t="s">
        <v>24</v>
      </c>
      <c r="L4" s="8" t="s">
        <v>27</v>
      </c>
      <c r="M4" s="8" t="s">
        <v>24</v>
      </c>
    </row>
    <row r="5" customFormat="false" ht="15" hidden="false" customHeight="false" outlineLevel="0" collapsed="false">
      <c r="A5" s="9" t="n">
        <v>1</v>
      </c>
      <c r="B5" s="10" t="n">
        <v>5.2</v>
      </c>
      <c r="C5" s="10" t="n">
        <v>5.48</v>
      </c>
      <c r="D5" s="10" t="n">
        <v>5.12</v>
      </c>
      <c r="E5" s="10" t="n">
        <v>5.42</v>
      </c>
      <c r="F5" s="11"/>
      <c r="G5" s="12" t="str">
        <f aca="false">IF(F5="","",IF(F5='Answer Key'!F5,"✓","Try again"))</f>
        <v/>
      </c>
      <c r="H5" s="13"/>
      <c r="I5" s="12" t="str">
        <f aca="false">IF(H5="","",IF(ROUND(H5,2)=ROUND('Answer Key'!G5,2),"✓","Try again"))</f>
        <v/>
      </c>
      <c r="J5" s="13"/>
      <c r="K5" s="12" t="str">
        <f aca="false">IF(J5="","",IF(ROUND(J5,2)=ROUND('Answer Key'!H5,2),"✓","Try again"))</f>
        <v/>
      </c>
      <c r="L5" s="13"/>
      <c r="M5" s="12" t="str">
        <f aca="false">IF(L5="","",IF(ROUND(L5,2)=ROUND('Answer Key'!I5,2),"✓","Try again"))</f>
        <v/>
      </c>
    </row>
    <row r="6" customFormat="false" ht="15" hidden="false" customHeight="false" outlineLevel="0" collapsed="false">
      <c r="A6" s="9" t="n">
        <v>2</v>
      </c>
      <c r="B6" s="10" t="n">
        <v>5.42</v>
      </c>
      <c r="C6" s="10" t="n">
        <v>5.6</v>
      </c>
      <c r="D6" s="10" t="n">
        <v>5.3</v>
      </c>
      <c r="E6" s="10" t="n">
        <v>5.35</v>
      </c>
      <c r="F6" s="11"/>
      <c r="G6" s="12" t="str">
        <f aca="false">IF(F6="","",IF(F6='Answer Key'!F6,"✓","Try again"))</f>
        <v/>
      </c>
      <c r="H6" s="13"/>
      <c r="I6" s="12" t="str">
        <f aca="false">IF(H6="","",IF(ROUND(H6,2)=ROUND('Answer Key'!G6,2),"✓","Try again"))</f>
        <v/>
      </c>
      <c r="J6" s="13"/>
      <c r="K6" s="12" t="str">
        <f aca="false">IF(J6="","",IF(ROUND(J6,2)=ROUND('Answer Key'!H6,2),"✓","Try again"))</f>
        <v/>
      </c>
      <c r="L6" s="13"/>
      <c r="M6" s="12" t="str">
        <f aca="false">IF(L6="","",IF(ROUND(L6,2)=ROUND('Answer Key'!I6,2),"✓","Try again"))</f>
        <v/>
      </c>
    </row>
    <row r="7" customFormat="false" ht="15" hidden="false" customHeight="false" outlineLevel="0" collapsed="false">
      <c r="A7" s="9" t="n">
        <v>3</v>
      </c>
      <c r="B7" s="10" t="n">
        <v>5.35</v>
      </c>
      <c r="C7" s="10" t="n">
        <v>5.38</v>
      </c>
      <c r="D7" s="10" t="n">
        <v>5.05</v>
      </c>
      <c r="E7" s="10" t="n">
        <v>5.1</v>
      </c>
      <c r="F7" s="11"/>
      <c r="G7" s="12" t="str">
        <f aca="false">IF(F7="","",IF(F7='Answer Key'!F7,"✓","Try again"))</f>
        <v/>
      </c>
      <c r="H7" s="13"/>
      <c r="I7" s="12" t="str">
        <f aca="false">IF(H7="","",IF(ROUND(H7,2)=ROUND('Answer Key'!G7,2),"✓","Try again"))</f>
        <v/>
      </c>
      <c r="J7" s="13"/>
      <c r="K7" s="12" t="str">
        <f aca="false">IF(J7="","",IF(ROUND(J7,2)=ROUND('Answer Key'!H7,2),"✓","Try again"))</f>
        <v/>
      </c>
      <c r="L7" s="13"/>
      <c r="M7" s="12" t="str">
        <f aca="false">IF(L7="","",IF(ROUND(L7,2)=ROUND('Answer Key'!I7,2),"✓","Try again"))</f>
        <v/>
      </c>
    </row>
    <row r="8" customFormat="false" ht="15" hidden="false" customHeight="false" outlineLevel="0" collapsed="false">
      <c r="A8" s="9" t="n">
        <v>4</v>
      </c>
      <c r="B8" s="10" t="n">
        <v>5.1</v>
      </c>
      <c r="C8" s="10" t="n">
        <v>5.25</v>
      </c>
      <c r="D8" s="10" t="n">
        <v>4.92</v>
      </c>
      <c r="E8" s="10" t="n">
        <v>5.22</v>
      </c>
      <c r="F8" s="11"/>
      <c r="G8" s="12" t="str">
        <f aca="false">IF(F8="","",IF(F8='Answer Key'!F8,"✓","Try again"))</f>
        <v/>
      </c>
      <c r="H8" s="13"/>
      <c r="I8" s="12" t="str">
        <f aca="false">IF(H8="","",IF(ROUND(H8,2)=ROUND('Answer Key'!G8,2),"✓","Try again"))</f>
        <v/>
      </c>
      <c r="J8" s="13"/>
      <c r="K8" s="12" t="str">
        <f aca="false">IF(J8="","",IF(ROUND(J8,2)=ROUND('Answer Key'!H8,2),"✓","Try again"))</f>
        <v/>
      </c>
      <c r="L8" s="13"/>
      <c r="M8" s="12" t="str">
        <f aca="false">IF(L8="","",IF(ROUND(L8,2)=ROUND('Answer Key'!I8,2),"✓","Try again"))</f>
        <v/>
      </c>
    </row>
    <row r="9" customFormat="false" ht="15" hidden="false" customHeight="false" outlineLevel="0" collapsed="false">
      <c r="A9" s="9" t="n">
        <v>5</v>
      </c>
      <c r="B9" s="10" t="n">
        <v>5.22</v>
      </c>
      <c r="C9" s="10" t="n">
        <v>5.4</v>
      </c>
      <c r="D9" s="10" t="n">
        <v>5.18</v>
      </c>
      <c r="E9" s="10" t="n">
        <v>5.22</v>
      </c>
      <c r="F9" s="11"/>
      <c r="G9" s="12" t="str">
        <f aca="false">IF(F9="","",IF(F9='Answer Key'!F9,"✓","Try again"))</f>
        <v/>
      </c>
      <c r="H9" s="13"/>
      <c r="I9" s="12" t="str">
        <f aca="false">IF(H9="","",IF(ROUND(H9,2)=ROUND('Answer Key'!G9,2),"✓","Try again"))</f>
        <v/>
      </c>
      <c r="J9" s="13"/>
      <c r="K9" s="12" t="str">
        <f aca="false">IF(J9="","",IF(ROUND(J9,2)=ROUND('Answer Key'!H9,2),"✓","Try again"))</f>
        <v/>
      </c>
      <c r="L9" s="13"/>
      <c r="M9" s="12" t="str">
        <f aca="false">IF(L9="","",IF(ROUND(L9,2)=ROUND('Answer Key'!I9,2),"✓","Try again"))</f>
        <v/>
      </c>
    </row>
    <row r="10" customFormat="false" ht="15" hidden="false" customHeight="false" outlineLevel="0" collapsed="false">
      <c r="A10" s="9" t="n">
        <v>6</v>
      </c>
      <c r="B10" s="10" t="n">
        <v>5.24</v>
      </c>
      <c r="C10" s="10" t="n">
        <v>5.55</v>
      </c>
      <c r="D10" s="10" t="n">
        <v>5.2</v>
      </c>
      <c r="E10" s="10" t="n">
        <v>5.5</v>
      </c>
      <c r="F10" s="11"/>
      <c r="G10" s="12" t="str">
        <f aca="false">IF(F10="","",IF(F10='Answer Key'!F10,"✓","Try again"))</f>
        <v/>
      </c>
      <c r="H10" s="13"/>
      <c r="I10" s="12" t="str">
        <f aca="false">IF(H10="","",IF(ROUND(H10,2)=ROUND('Answer Key'!G10,2),"✓","Try again"))</f>
        <v/>
      </c>
      <c r="J10" s="13"/>
      <c r="K10" s="12" t="str">
        <f aca="false">IF(J10="","",IF(ROUND(J10,2)=ROUND('Answer Key'!H10,2),"✓","Try again"))</f>
        <v/>
      </c>
      <c r="L10" s="13"/>
      <c r="M10" s="12" t="str">
        <f aca="false">IF(L10="","",IF(ROUND(L10,2)=ROUND('Answer Key'!I10,2),"✓","Try again"))</f>
        <v/>
      </c>
    </row>
    <row r="11" customFormat="false" ht="15" hidden="false" customHeight="false" outlineLevel="0" collapsed="false">
      <c r="A11" s="9" t="n">
        <v>7</v>
      </c>
      <c r="B11" s="10" t="n">
        <v>5.5</v>
      </c>
      <c r="C11" s="10" t="n">
        <v>5.72</v>
      </c>
      <c r="D11" s="10" t="n">
        <v>5.46</v>
      </c>
      <c r="E11" s="10" t="n">
        <v>5.68</v>
      </c>
      <c r="F11" s="11"/>
      <c r="G11" s="12" t="str">
        <f aca="false">IF(F11="","",IF(F11='Answer Key'!F11,"✓","Try again"))</f>
        <v/>
      </c>
      <c r="H11" s="13"/>
      <c r="I11" s="12" t="str">
        <f aca="false">IF(H11="","",IF(ROUND(H11,2)=ROUND('Answer Key'!G11,2),"✓","Try again"))</f>
        <v/>
      </c>
      <c r="J11" s="13"/>
      <c r="K11" s="12" t="str">
        <f aca="false">IF(J11="","",IF(ROUND(J11,2)=ROUND('Answer Key'!H11,2),"✓","Try again"))</f>
        <v/>
      </c>
      <c r="L11" s="13"/>
      <c r="M11" s="12" t="str">
        <f aca="false">IF(L11="","",IF(ROUND(L11,2)=ROUND('Answer Key'!I11,2),"✓","Try again"))</f>
        <v/>
      </c>
    </row>
    <row r="12" customFormat="false" ht="15" hidden="false" customHeight="false" outlineLevel="0" collapsed="false">
      <c r="A12" s="9" t="n">
        <v>8</v>
      </c>
      <c r="B12" s="10" t="n">
        <v>5.68</v>
      </c>
      <c r="C12" s="10" t="n">
        <v>5.9</v>
      </c>
      <c r="D12" s="10" t="n">
        <v>5.6</v>
      </c>
      <c r="E12" s="10" t="n">
        <v>5.62</v>
      </c>
      <c r="F12" s="11"/>
      <c r="G12" s="12" t="str">
        <f aca="false">IF(F12="","",IF(F12='Answer Key'!F12,"✓","Try again"))</f>
        <v/>
      </c>
      <c r="H12" s="13"/>
      <c r="I12" s="12" t="str">
        <f aca="false">IF(H12="","",IF(ROUND(H12,2)=ROUND('Answer Key'!G12,2),"✓","Try again"))</f>
        <v/>
      </c>
      <c r="J12" s="13"/>
      <c r="K12" s="12" t="str">
        <f aca="false">IF(J12="","",IF(ROUND(J12,2)=ROUND('Answer Key'!H12,2),"✓","Try again"))</f>
        <v/>
      </c>
      <c r="L12" s="13"/>
      <c r="M12" s="12" t="str">
        <f aca="false">IF(L12="","",IF(ROUND(L12,2)=ROUND('Answer Key'!I12,2),"✓","Try again"))</f>
        <v/>
      </c>
    </row>
    <row r="13" customFormat="false" ht="15" hidden="false" customHeight="false" outlineLevel="0" collapsed="false">
      <c r="A13" s="9" t="n">
        <v>9</v>
      </c>
      <c r="B13" s="10" t="n">
        <v>5.62</v>
      </c>
      <c r="C13" s="10" t="n">
        <v>5.66</v>
      </c>
      <c r="D13" s="10" t="n">
        <v>5.4</v>
      </c>
      <c r="E13" s="10" t="n">
        <v>5.45</v>
      </c>
      <c r="F13" s="11"/>
      <c r="G13" s="12" t="str">
        <f aca="false">IF(F13="","",IF(F13='Answer Key'!F13,"✓","Try again"))</f>
        <v/>
      </c>
      <c r="H13" s="13"/>
      <c r="I13" s="12" t="str">
        <f aca="false">IF(H13="","",IF(ROUND(H13,2)=ROUND('Answer Key'!G13,2),"✓","Try again"))</f>
        <v/>
      </c>
      <c r="J13" s="13"/>
      <c r="K13" s="12" t="str">
        <f aca="false">IF(J13="","",IF(ROUND(J13,2)=ROUND('Answer Key'!H13,2),"✓","Try again"))</f>
        <v/>
      </c>
      <c r="L13" s="13"/>
      <c r="M13" s="12" t="str">
        <f aca="false">IF(L13="","",IF(ROUND(L13,2)=ROUND('Answer Key'!I13,2),"✓","Try again"))</f>
        <v/>
      </c>
    </row>
    <row r="14" customFormat="false" ht="15" hidden="false" customHeight="false" outlineLevel="0" collapsed="false">
      <c r="A14" s="9" t="n">
        <v>10</v>
      </c>
      <c r="B14" s="10" t="n">
        <v>5.45</v>
      </c>
      <c r="C14" s="10" t="n">
        <v>5.58</v>
      </c>
      <c r="D14" s="10" t="n">
        <v>5.38</v>
      </c>
      <c r="E14" s="10" t="n">
        <v>5.55</v>
      </c>
      <c r="F14" s="11"/>
      <c r="G14" s="12" t="str">
        <f aca="false">IF(F14="","",IF(F14='Answer Key'!F14,"✓","Try again"))</f>
        <v/>
      </c>
      <c r="H14" s="13"/>
      <c r="I14" s="12" t="str">
        <f aca="false">IF(H14="","",IF(ROUND(H14,2)=ROUND('Answer Key'!G14,2),"✓","Try again"))</f>
        <v/>
      </c>
      <c r="J14" s="13"/>
      <c r="K14" s="12" t="str">
        <f aca="false">IF(J14="","",IF(ROUND(J14,2)=ROUND('Answer Key'!H14,2),"✓","Try again"))</f>
        <v/>
      </c>
      <c r="L14" s="13"/>
      <c r="M14" s="12" t="str">
        <f aca="false">IF(L14="","",IF(ROUND(L14,2)=ROUND('Answer Key'!I14,2),"✓","Try again"))</f>
        <v/>
      </c>
    </row>
    <row r="16" customFormat="false" ht="15" hidden="false" customHeight="false" outlineLevel="0" collapsed="false">
      <c r="A16" s="14" t="s">
        <v>28</v>
      </c>
      <c r="B16" s="15" t="str">
        <f aca="false">COUNTIF(G5:M14,"✓")&amp;" / 40 correct"</f>
        <v>0 / 40 correct</v>
      </c>
    </row>
    <row r="18" customFormat="false" ht="15" hidden="false" customHeight="false" outlineLevel="0" collapsed="false">
      <c r="A18" s="3" t="s">
        <v>29</v>
      </c>
    </row>
  </sheetData>
  <dataValidations count="1">
    <dataValidation allowBlank="true" errorStyle="stop" operator="between" showDropDown="false" showErrorMessage="false" showInputMessage="false" sqref="F5:F14" type="list">
      <formula1>"Bullish,Bearish,Doji"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7" t="s">
        <v>30</v>
      </c>
    </row>
    <row r="2" customFormat="false" ht="15" hidden="false" customHeight="false" outlineLevel="0" collapsed="false">
      <c r="A2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5" min="2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17.35" hidden="false" customHeight="false" outlineLevel="0" collapsed="false">
      <c r="A1" s="7" t="s">
        <v>32</v>
      </c>
    </row>
    <row r="2" customFormat="false" ht="15" hidden="false" customHeight="false" outlineLevel="0" collapsed="false">
      <c r="A2" s="3" t="s">
        <v>33</v>
      </c>
    </row>
    <row r="4" customFormat="false" ht="31.5" hidden="false" customHeight="tru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25</v>
      </c>
      <c r="H4" s="8" t="s">
        <v>26</v>
      </c>
      <c r="I4" s="8" t="s">
        <v>27</v>
      </c>
    </row>
    <row r="5" customFormat="false" ht="15" hidden="false" customHeight="false" outlineLevel="0" collapsed="false">
      <c r="A5" s="16" t="n">
        <v>1</v>
      </c>
      <c r="B5" s="17" t="n">
        <f aca="false">Practice!B5</f>
        <v>5.2</v>
      </c>
      <c r="C5" s="17" t="n">
        <f aca="false">Practice!C5</f>
        <v>5.48</v>
      </c>
      <c r="D5" s="17" t="n">
        <f aca="false">Practice!D5</f>
        <v>5.12</v>
      </c>
      <c r="E5" s="17" t="n">
        <f aca="false">Practice!E5</f>
        <v>5.42</v>
      </c>
      <c r="F5" s="16" t="str">
        <f aca="false">IF(E5&gt;B5,"Bullish",IF(E5&lt;B5,"Bearish","Doji"))</f>
        <v>Bullish</v>
      </c>
      <c r="G5" s="17" t="n">
        <f aca="false">ABS(E5-B5)</f>
        <v>0.22</v>
      </c>
      <c r="H5" s="17" t="n">
        <f aca="false">C5-MAX(B5,E5)</f>
        <v>0.0600000000000005</v>
      </c>
      <c r="I5" s="17" t="n">
        <f aca="false">MIN(B5,E5)-D5</f>
        <v>0.0800000000000001</v>
      </c>
    </row>
    <row r="6" customFormat="false" ht="15" hidden="false" customHeight="false" outlineLevel="0" collapsed="false">
      <c r="A6" s="16" t="n">
        <v>2</v>
      </c>
      <c r="B6" s="17" t="n">
        <f aca="false">Practice!B6</f>
        <v>5.42</v>
      </c>
      <c r="C6" s="17" t="n">
        <f aca="false">Practice!C6</f>
        <v>5.6</v>
      </c>
      <c r="D6" s="17" t="n">
        <f aca="false">Practice!D6</f>
        <v>5.3</v>
      </c>
      <c r="E6" s="17" t="n">
        <f aca="false">Practice!E6</f>
        <v>5.35</v>
      </c>
      <c r="F6" s="16" t="str">
        <f aca="false">IF(E6&gt;B6,"Bullish",IF(E6&lt;B6,"Bearish","Doji"))</f>
        <v>Bearish</v>
      </c>
      <c r="G6" s="17" t="n">
        <f aca="false">ABS(E6-B6)</f>
        <v>0.0700000000000003</v>
      </c>
      <c r="H6" s="17" t="n">
        <f aca="false">C6-MAX(B6,E6)</f>
        <v>0.18</v>
      </c>
      <c r="I6" s="17" t="n">
        <f aca="false">MIN(B6,E6)-D6</f>
        <v>0.0499999999999998</v>
      </c>
    </row>
    <row r="7" customFormat="false" ht="15" hidden="false" customHeight="false" outlineLevel="0" collapsed="false">
      <c r="A7" s="16" t="n">
        <v>3</v>
      </c>
      <c r="B7" s="17" t="n">
        <f aca="false">Practice!B7</f>
        <v>5.35</v>
      </c>
      <c r="C7" s="17" t="n">
        <f aca="false">Practice!C7</f>
        <v>5.38</v>
      </c>
      <c r="D7" s="17" t="n">
        <f aca="false">Practice!D7</f>
        <v>5.05</v>
      </c>
      <c r="E7" s="17" t="n">
        <f aca="false">Practice!E7</f>
        <v>5.1</v>
      </c>
      <c r="F7" s="16" t="str">
        <f aca="false">IF(E7&gt;B7,"Bullish",IF(E7&lt;B7,"Bearish","Doji"))</f>
        <v>Bearish</v>
      </c>
      <c r="G7" s="17" t="n">
        <f aca="false">ABS(E7-B7)</f>
        <v>0.25</v>
      </c>
      <c r="H7" s="17" t="n">
        <f aca="false">C7-MAX(B7,E7)</f>
        <v>0.0300000000000003</v>
      </c>
      <c r="I7" s="17" t="n">
        <f aca="false">MIN(B7,E7)-D7</f>
        <v>0.0499999999999998</v>
      </c>
    </row>
    <row r="8" customFormat="false" ht="15" hidden="false" customHeight="false" outlineLevel="0" collapsed="false">
      <c r="A8" s="16" t="n">
        <v>4</v>
      </c>
      <c r="B8" s="17" t="n">
        <f aca="false">Practice!B8</f>
        <v>5.1</v>
      </c>
      <c r="C8" s="17" t="n">
        <f aca="false">Practice!C8</f>
        <v>5.25</v>
      </c>
      <c r="D8" s="17" t="n">
        <f aca="false">Practice!D8</f>
        <v>4.92</v>
      </c>
      <c r="E8" s="17" t="n">
        <f aca="false">Practice!E8</f>
        <v>5.22</v>
      </c>
      <c r="F8" s="16" t="str">
        <f aca="false">IF(E8&gt;B8,"Bullish",IF(E8&lt;B8,"Bearish","Doji"))</f>
        <v>Bullish</v>
      </c>
      <c r="G8" s="17" t="n">
        <f aca="false">ABS(E8-B8)</f>
        <v>0.12</v>
      </c>
      <c r="H8" s="17" t="n">
        <f aca="false">C8-MAX(B8,E8)</f>
        <v>0.0300000000000003</v>
      </c>
      <c r="I8" s="17" t="n">
        <f aca="false">MIN(B8,E8)-D8</f>
        <v>0.18</v>
      </c>
    </row>
    <row r="9" customFormat="false" ht="15" hidden="false" customHeight="false" outlineLevel="0" collapsed="false">
      <c r="A9" s="16" t="n">
        <v>5</v>
      </c>
      <c r="B9" s="17" t="n">
        <f aca="false">Practice!B9</f>
        <v>5.22</v>
      </c>
      <c r="C9" s="17" t="n">
        <f aca="false">Practice!C9</f>
        <v>5.4</v>
      </c>
      <c r="D9" s="17" t="n">
        <f aca="false">Practice!D9</f>
        <v>5.18</v>
      </c>
      <c r="E9" s="17" t="n">
        <f aca="false">Practice!E9</f>
        <v>5.22</v>
      </c>
      <c r="F9" s="16" t="str">
        <f aca="false">IF(E9&gt;B9,"Bullish",IF(E9&lt;B9,"Bearish","Doji"))</f>
        <v>Doji</v>
      </c>
      <c r="G9" s="17" t="n">
        <f aca="false">ABS(E9-B9)</f>
        <v>0</v>
      </c>
      <c r="H9" s="17" t="n">
        <f aca="false">C9-MAX(B9,E9)</f>
        <v>0.180000000000001</v>
      </c>
      <c r="I9" s="17" t="n">
        <f aca="false">MIN(B9,E9)-D9</f>
        <v>0.04</v>
      </c>
    </row>
    <row r="10" customFormat="false" ht="15" hidden="false" customHeight="false" outlineLevel="0" collapsed="false">
      <c r="A10" s="16" t="n">
        <v>6</v>
      </c>
      <c r="B10" s="17" t="n">
        <f aca="false">Practice!B10</f>
        <v>5.24</v>
      </c>
      <c r="C10" s="17" t="n">
        <f aca="false">Practice!C10</f>
        <v>5.55</v>
      </c>
      <c r="D10" s="17" t="n">
        <f aca="false">Practice!D10</f>
        <v>5.2</v>
      </c>
      <c r="E10" s="17" t="n">
        <f aca="false">Practice!E10</f>
        <v>5.5</v>
      </c>
      <c r="F10" s="16" t="str">
        <f aca="false">IF(E10&gt;B10,"Bullish",IF(E10&lt;B10,"Bearish","Doji"))</f>
        <v>Bullish</v>
      </c>
      <c r="G10" s="17" t="n">
        <f aca="false">ABS(E10-B10)</f>
        <v>0.26</v>
      </c>
      <c r="H10" s="17" t="n">
        <f aca="false">C10-MAX(B10,E10)</f>
        <v>0.0499999999999998</v>
      </c>
      <c r="I10" s="17" t="n">
        <f aca="false">MIN(B10,E10)-D10</f>
        <v>0.04</v>
      </c>
    </row>
    <row r="11" customFormat="false" ht="15" hidden="false" customHeight="false" outlineLevel="0" collapsed="false">
      <c r="A11" s="16" t="n">
        <v>7</v>
      </c>
      <c r="B11" s="17" t="n">
        <f aca="false">Practice!B11</f>
        <v>5.5</v>
      </c>
      <c r="C11" s="17" t="n">
        <f aca="false">Practice!C11</f>
        <v>5.72</v>
      </c>
      <c r="D11" s="17" t="n">
        <f aca="false">Practice!D11</f>
        <v>5.46</v>
      </c>
      <c r="E11" s="17" t="n">
        <f aca="false">Practice!E11</f>
        <v>5.68</v>
      </c>
      <c r="F11" s="16" t="str">
        <f aca="false">IF(E11&gt;B11,"Bullish",IF(E11&lt;B11,"Bearish","Doji"))</f>
        <v>Bullish</v>
      </c>
      <c r="G11" s="17" t="n">
        <f aca="false">ABS(E11-B11)</f>
        <v>0.18</v>
      </c>
      <c r="H11" s="17" t="n">
        <f aca="false">C11-MAX(B11,E11)</f>
        <v>0.04</v>
      </c>
      <c r="I11" s="17" t="n">
        <f aca="false">MIN(B11,E11)-D11</f>
        <v>0.04</v>
      </c>
    </row>
    <row r="12" customFormat="false" ht="15" hidden="false" customHeight="false" outlineLevel="0" collapsed="false">
      <c r="A12" s="16" t="n">
        <v>8</v>
      </c>
      <c r="B12" s="17" t="n">
        <f aca="false">Practice!B12</f>
        <v>5.68</v>
      </c>
      <c r="C12" s="17" t="n">
        <f aca="false">Practice!C12</f>
        <v>5.9</v>
      </c>
      <c r="D12" s="17" t="n">
        <f aca="false">Practice!D12</f>
        <v>5.6</v>
      </c>
      <c r="E12" s="17" t="n">
        <f aca="false">Practice!E12</f>
        <v>5.62</v>
      </c>
      <c r="F12" s="16" t="str">
        <f aca="false">IF(E12&gt;B12,"Bullish",IF(E12&lt;B12,"Bearish","Doji"))</f>
        <v>Bearish</v>
      </c>
      <c r="G12" s="17" t="n">
        <f aca="false">ABS(E12-B12)</f>
        <v>0.0599999999999996</v>
      </c>
      <c r="H12" s="17" t="n">
        <f aca="false">C12-MAX(B12,E12)</f>
        <v>0.220000000000001</v>
      </c>
      <c r="I12" s="17" t="n">
        <f aca="false">MIN(B12,E12)-D12</f>
        <v>0.0200000000000005</v>
      </c>
    </row>
    <row r="13" customFormat="false" ht="15" hidden="false" customHeight="false" outlineLevel="0" collapsed="false">
      <c r="A13" s="16" t="n">
        <v>9</v>
      </c>
      <c r="B13" s="17" t="n">
        <f aca="false">Practice!B13</f>
        <v>5.62</v>
      </c>
      <c r="C13" s="17" t="n">
        <f aca="false">Practice!C13</f>
        <v>5.66</v>
      </c>
      <c r="D13" s="17" t="n">
        <f aca="false">Practice!D13</f>
        <v>5.4</v>
      </c>
      <c r="E13" s="17" t="n">
        <f aca="false">Practice!E13</f>
        <v>5.45</v>
      </c>
      <c r="F13" s="16" t="str">
        <f aca="false">IF(E13&gt;B13,"Bullish",IF(E13&lt;B13,"Bearish","Doji"))</f>
        <v>Bearish</v>
      </c>
      <c r="G13" s="17" t="n">
        <f aca="false">ABS(E13-B13)</f>
        <v>0.17</v>
      </c>
      <c r="H13" s="17" t="n">
        <f aca="false">C13-MAX(B13,E13)</f>
        <v>0.04</v>
      </c>
      <c r="I13" s="17" t="n">
        <f aca="false">MIN(B13,E13)-D13</f>
        <v>0.0499999999999998</v>
      </c>
    </row>
    <row r="14" customFormat="false" ht="15" hidden="false" customHeight="false" outlineLevel="0" collapsed="false">
      <c r="A14" s="16" t="n">
        <v>10</v>
      </c>
      <c r="B14" s="17" t="n">
        <f aca="false">Practice!B14</f>
        <v>5.45</v>
      </c>
      <c r="C14" s="17" t="n">
        <f aca="false">Practice!C14</f>
        <v>5.58</v>
      </c>
      <c r="D14" s="17" t="n">
        <f aca="false">Practice!D14</f>
        <v>5.38</v>
      </c>
      <c r="E14" s="17" t="n">
        <f aca="false">Practice!E14</f>
        <v>5.55</v>
      </c>
      <c r="F14" s="16" t="str">
        <f aca="false">IF(E14&gt;B14,"Bullish",IF(E14&lt;B14,"Bearish","Doji"))</f>
        <v>Bullish</v>
      </c>
      <c r="G14" s="17" t="n">
        <f aca="false">ABS(E14-B14)</f>
        <v>0.0999999999999996</v>
      </c>
      <c r="H14" s="17" t="n">
        <f aca="false">C14-MAX(B14,E14)</f>
        <v>0.0300000000000003</v>
      </c>
      <c r="I14" s="17" t="n">
        <f aca="false">MIN(B14,E14)-D14</f>
        <v>0.0700000000000003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2026-10-11T07:13:15Z</dcterms:created>
  <dc:creator>openpyxl</dc:creator>
  <dc:description/>
  <dc:language>en-US</dc:language>
  <cp:lastModifiedBy/>
  <dcterms:modified xsi:type="dcterms:W3CDTF">2026-10-11T13:43:24Z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