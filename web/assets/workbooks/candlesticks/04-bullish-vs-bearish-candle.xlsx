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Quiz" sheetId="3" state="visible" r:id="rId5"/>
    <sheet name="Chart" sheetId="4" state="visible" r:id="rId6"/>
    <sheet name="Answer Ke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<sst xmlns="http://schemas.openxmlformats.org/spreadsheetml/2006/main" count="51" uniqueCount="39">
  <si>
    <t xml:space="preserve">Practice: Bullish vs Bearish Candles</t>
  </si>
  <si>
    <t xml:space="preserve">Basics of Candlesticks course · Illustrative practice data (prices in AED)</t>
  </si>
  <si>
    <t xml:space="preserve">Your task</t>
  </si>
  <si>
    <t xml:space="preserve">1. For each day, classify the candle: Bullish, Bearish or Doji</t>
  </si>
  <si>
    <t xml:space="preserve">2. Calculate the change: Close minus Open</t>
  </si>
  <si>
    <t xml:space="preserve">3. Count how many bullish and bearish days there were</t>
  </si>
  <si>
    <t xml:space="preserve">4. Then answer the five questions on the Quiz tab.</t>
  </si>
  <si>
    <t xml:space="preserve">5.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</si>
  <si>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</si>
  <si>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</si>
  <si>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 Bullish or Bearish?</t>
  </si>
  <si>
    <t xml:space="preserve">Fill in the yellow cells. Check columns update automatically.</t>
  </si>
  <si>
    <t xml:space="preserve">Day</t>
  </si>
  <si>
    <t xml:space="preserve">Open</t>
  </si>
  <si>
    <t xml:space="preserve">High</t>
  </si>
  <si>
    <t xml:space="preserve">Low</t>
  </si>
  <si>
    <t xml:space="preserve">Close</t>
  </si>
  <si>
    <t xml:space="preserve">Candle type</t>
  </si>
  <si>
    <t xml:space="preserve">Check</t>
  </si>
  <si>
    <t xml:space="preserve">Change (Close − Open)</t>
  </si>
  <si>
    <t xml:space="preserve">Score</t>
  </si>
  <si>
    <t xml:space="preserve">Lesson Quiz</t>
  </si>
  <si>
    <t xml:space="preserve">Choose your answers from the dropdowns. Your score updates automatically.</t>
  </si>
  <si>
    <t xml:space="preserve">#</t>
  </si>
  <si>
    <t xml:space="preserve">Question</t>
  </si>
  <si>
    <t xml:space="preserve">Your answer</t>
  </si>
  <si>
    <t xml:space="preserve">A stock opens at 20.00, rises to 21.00 during the day, and closes at 19.80. What kind of candle is it?  A) Bullish, because it reached 21.00   B) Neutral, because it went up and down   C) Bullish, because the high is above the open   D) Bearish, because it closed below the open</t>
  </si>
  <si>
    <t xml:space="preserve">A bullish candle closes above its open.</t>
  </si>
  <si>
    <t xml:space="preserve">A candle that reached a new high is always bullish.</t>
  </si>
  <si>
    <t xml:space="preserve">A long body shows a strong win.</t>
  </si>
  <si>
    <t xml:space="preserve">Shrinking candles can show control is shifting.</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</si>
  <si>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</si>
  <si>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</si>
  <si>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</si>
  <si>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</si>
  <si>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Quiz answers</t>
  </si>
  <si>
    <t xml:space="preserve">D</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</si>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</sst>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Practice!$B$5:$B$16</c:f>
              <c:numCache>
                <c:formatCode>0.00</c:formatCode>
                <c:ptCount val="12"/>
                <c:pt idx="0">
                  <c:v>20</c:v>
                </c:pt>
                <c:pt idx="1">
                  <c:v>20.38</c:v>
                </c:pt>
                <c:pt idx="2">
                  <c:v>20.82</c:v>
                </c:pt>
                <c:pt idx="3">
                  <c:v>21.35</c:v>
                </c:pt>
                <c:pt idx="4">
                  <c:v>21.54</c:v>
                </c:pt>
                <c:pt idx="5">
                  <c:v>21.54</c:v>
                </c:pt>
                <c:pt idx="6">
                  <c:v>21.34</c:v>
                </c:pt>
                <c:pt idx="7">
                  <c:v>20.77</c:v>
                </c:pt>
                <c:pt idx="8">
                  <c:v>20.37</c:v>
                </c:pt>
                <c:pt idx="9">
                  <c:v>19.96</c:v>
                </c:pt>
                <c:pt idx="10">
                  <c:v>20.15</c:v>
                </c:pt>
                <c:pt idx="11">
                  <c:v>20.62</c:v>
                </c:pt>
              </c:numCache>
            </c:numRef>
          </c:val>
        </c:ser>
        <c:ser>
          <c:idx val="2"/>
          <c:order val="2"/>
          <c:tx>
            <c:strRef>
              <c:f>Practice!C4</c:f>
              <c:strCache>
                <c:ptCount val="1"/>
                <c:pt idx="0">
                  <c:v>High</c:v>
                </c:pt>
              </c:strCache>
            </c:strRef>
          </c:tx>
          <c:cat>
            <c:strRef>
              <c:f>Practice!$A$5:$A$16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Practice!$C$5:$C$16</c:f>
              <c:numCache>
                <c:formatCode>0.00</c:formatCode>
                <c:ptCount val="12"/>
                <c:pt idx="0">
                  <c:v>20.44</c:v>
                </c:pt>
                <c:pt idx="1">
                  <c:v>20.88</c:v>
                </c:pt>
                <c:pt idx="2">
                  <c:v>21.47</c:v>
                </c:pt>
                <c:pt idx="3">
                  <c:v>21.67</c:v>
                </c:pt>
                <c:pt idx="4">
                  <c:v>21.86</c:v>
                </c:pt>
                <c:pt idx="5">
                  <c:v>21.67</c:v>
                </c:pt>
                <c:pt idx="6">
                  <c:v>21.47</c:v>
                </c:pt>
                <c:pt idx="7">
                  <c:v>20.84</c:v>
                </c:pt>
                <c:pt idx="8">
                  <c:v>20.54</c:v>
                </c:pt>
                <c:pt idx="9">
                  <c:v>20.29</c:v>
                </c:pt>
                <c:pt idx="10">
                  <c:v>20.78</c:v>
                </c:pt>
                <c:pt idx="11">
                  <c:v>20.73</c:v>
                </c:pt>
              </c:numCache>
            </c:numRef>
          </c:val>
        </c:ser>
        <c:ser>
          <c:idx val="3"/>
          <c:order val="3"/>
          <c:tx>
            <c:strRef>
              <c:f>Practice!D4</c:f>
              <c:strCache>
                <c:ptCount val="1"/>
                <c:pt idx="0">
                  <c:v>Low</c:v>
                </c:pt>
              </c:strCache>
            </c:strRef>
          </c:tx>
          <c:cat>
            <c:strRef>
              <c:f>Practice!$A$5:$A$16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Practice!$D$5:$D$16</c:f>
              <c:numCache>
                <c:formatCode>0.00</c:formatCode>
                <c:ptCount val="12"/>
                <c:pt idx="0">
                  <c:v>19.89</c:v>
                </c:pt>
                <c:pt idx="1">
                  <c:v>20.31</c:v>
                </c:pt>
                <c:pt idx="2">
                  <c:v>20.66</c:v>
                </c:pt>
                <c:pt idx="3">
                  <c:v>21.28</c:v>
                </c:pt>
                <c:pt idx="4">
                  <c:v>21.22</c:v>
                </c:pt>
                <c:pt idx="5">
                  <c:v>21.24</c:v>
                </c:pt>
                <c:pt idx="6">
                  <c:v>20.66</c:v>
                </c:pt>
                <c:pt idx="7">
                  <c:v>20.3</c:v>
                </c:pt>
                <c:pt idx="8">
                  <c:v>19.84</c:v>
                </c:pt>
                <c:pt idx="9">
                  <c:v>19.86</c:v>
                </c:pt>
                <c:pt idx="10">
                  <c:v>20.04</c:v>
                </c:pt>
                <c:pt idx="11">
                  <c:v>20.29</c:v>
                </c:pt>
              </c:numCache>
            </c:numRef>
          </c:val>
        </c:ser>
        <c:ser>
          <c:idx val="4"/>
          <c:order val="4"/>
          <c:tx>
            <c:strRef>
              <c:f>Practice!E4</c:f>
              <c:strCache>
                <c:ptCount val="1"/>
                <c:pt idx="0">
                  <c:v>Close</c:v>
                </c:pt>
              </c:strCache>
            </c:strRef>
          </c:tx>
          <c:cat>
            <c:strRef>
              <c:f>Practice!$A$5:$A$16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Practice!$E$5:$E$16</c:f>
              <c:numCache>
                <c:formatCode>0.00</c:formatCode>
                <c:ptCount val="12"/>
                <c:pt idx="0">
                  <c:v>20.38</c:v>
                </c:pt>
                <c:pt idx="1">
                  <c:v>20.82</c:v>
                </c:pt>
                <c:pt idx="2">
                  <c:v>21.35</c:v>
                </c:pt>
                <c:pt idx="3">
                  <c:v>21.54</c:v>
                </c:pt>
                <c:pt idx="4">
                  <c:v>21.54</c:v>
                </c:pt>
                <c:pt idx="5">
                  <c:v>21.34</c:v>
                </c:pt>
                <c:pt idx="6">
                  <c:v>20.77</c:v>
                </c:pt>
                <c:pt idx="7">
                  <c:v>20.37</c:v>
                </c:pt>
                <c:pt idx="8">
                  <c:v>19.96</c:v>
                </c:pt>
                <c:pt idx="9">
                  <c:v>20.15</c:v>
                </c:pt>
                <c:pt idx="10">
                  <c:v>20.62</c:v>
                </c:pt>
                <c:pt idx="11">
                  <c:v>20.37</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45061288"/>
        <c:axId val="65642681"/>
      </c:stockChart>
      <c:catAx>
        <c:axId val="4506128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642681"/>
        <c:crosses val="autoZero"/>
        <c:auto val="1"/>
        <c:lblAlgn val="ctr"/>
        <c:lblOffset val="100"/>
        <c:noMultiLvlLbl val="0"/>
      </c:catAx>
      <c:valAx>
        <c:axId val="6564268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06128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2" t="s">
        <v>8</v>
      </c>
    </row>
    <row r="12" customFormat="false" ht="15" hidden="false" customHeight="false" outlineLevel="0" collapsed="false">
      <c r="A12"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4"/>
    <col collapsed="false" customWidth="true" hidden="false" outlineLevel="0" max="7" min="7" style="0" width="11"/>
    <col collapsed="false" customWidth="true" hidden="false" outlineLevel="0" max="8" min="8" style="0" width="18.9"/>
    <col collapsed="false" customWidth="true" hidden="false" outlineLevel="0" max="9" min="9" style="0" width="11"/>
  </cols>
  <sheetData>
    <row r="1" customFormat="false" ht="17.35" hidden="false" customHeight="false" outlineLevel="0" collapsed="false">
      <c r="A1" s="5" t="s">
        <v>10</v>
      </c>
    </row>
    <row r="2" customFormat="false" ht="15" hidden="false" customHeight="false" outlineLevel="0" collapsed="false">
      <c r="A2" s="2" t="s">
        <v>11</v>
      </c>
    </row>
    <row r="4" customFormat="false" ht="33.75" hidden="false" customHeight="true" outlineLevel="0" collapsed="false">
      <c r="A4" s="6" t="s">
        <v>12</v>
      </c>
      <c r="B4" s="6" t="s">
        <v>13</v>
      </c>
      <c r="C4" s="6" t="s">
        <v>14</v>
      </c>
      <c r="D4" s="6" t="s">
        <v>15</v>
      </c>
      <c r="E4" s="6" t="s">
        <v>16</v>
      </c>
      <c r="F4" s="6" t="s">
        <v>17</v>
      </c>
      <c r="G4" s="6" t="s">
        <v>18</v>
      </c>
      <c r="H4" s="6" t="s">
        <v>19</v>
      </c>
      <c r="I4" s="6" t="s">
        <v>18</v>
      </c>
    </row>
    <row r="5" customFormat="false" ht="15" hidden="false" customHeight="false" outlineLevel="0" collapsed="false">
      <c r="A5" s="7" t="n">
        <v>1</v>
      </c>
      <c r="B5" s="8" t="n">
        <v>20</v>
      </c>
      <c r="C5" s="8" t="n">
        <v>20.44</v>
      </c>
      <c r="D5" s="8" t="n">
        <v>19.89</v>
      </c>
      <c r="E5" s="8" t="n">
        <v>20.38</v>
      </c>
      <c r="F5" s="9"/>
      <c r="G5" s="10" t="str">
        <f aca="false">IF(F5="","",IF(F5='Answer Key'!F5,"✓","Try again"))</f>
        <v/>
      </c>
      <c r="H5" s="11"/>
      <c r="I5" s="10" t="str">
        <f aca="false">IF(H5="","",IF(ROUND(H5,2)=ROUND('Answer Key'!G5,2),"✓","Try again"))</f>
        <v/>
      </c>
    </row>
    <row r="6" customFormat="false" ht="15" hidden="false" customHeight="false" outlineLevel="0" collapsed="false">
      <c r="A6" s="7" t="n">
        <v>2</v>
      </c>
      <c r="B6" s="8" t="n">
        <v>20.38</v>
      </c>
      <c r="C6" s="8" t="n">
        <v>20.88</v>
      </c>
      <c r="D6" s="8" t="n">
        <v>20.31</v>
      </c>
      <c r="E6" s="8" t="n">
        <v>20.82</v>
      </c>
      <c r="F6" s="9"/>
      <c r="G6" s="10" t="str">
        <f aca="false">IF(F6="","",IF(F6='Answer Key'!F6,"✓","Try again"))</f>
        <v/>
      </c>
      <c r="H6" s="11"/>
      <c r="I6" s="10" t="str">
        <f aca="false">IF(H6="","",IF(ROUND(H6,2)=ROUND('Answer Key'!G6,2),"✓","Try again"))</f>
        <v/>
      </c>
    </row>
    <row r="7" customFormat="false" ht="15" hidden="false" customHeight="false" outlineLevel="0" collapsed="false">
      <c r="A7" s="7" t="n">
        <v>3</v>
      </c>
      <c r="B7" s="8" t="n">
        <v>20.82</v>
      </c>
      <c r="C7" s="8" t="n">
        <v>21.47</v>
      </c>
      <c r="D7" s="8" t="n">
        <v>20.66</v>
      </c>
      <c r="E7" s="8" t="n">
        <v>21.35</v>
      </c>
      <c r="F7" s="9"/>
      <c r="G7" s="10" t="str">
        <f aca="false">IF(F7="","",IF(F7='Answer Key'!F7,"✓","Try again"))</f>
        <v/>
      </c>
      <c r="H7" s="11"/>
      <c r="I7" s="10" t="str">
        <f aca="false">IF(H7="","",IF(ROUND(H7,2)=ROUND('Answer Key'!G7,2),"✓","Try again"))</f>
        <v/>
      </c>
    </row>
    <row r="8" customFormat="false" ht="15" hidden="false" customHeight="false" outlineLevel="0" collapsed="false">
      <c r="A8" s="7" t="n">
        <v>4</v>
      </c>
      <c r="B8" s="8" t="n">
        <v>21.35</v>
      </c>
      <c r="C8" s="8" t="n">
        <v>21.67</v>
      </c>
      <c r="D8" s="8" t="n">
        <v>21.28</v>
      </c>
      <c r="E8" s="8" t="n">
        <v>21.54</v>
      </c>
      <c r="F8" s="9"/>
      <c r="G8" s="10" t="str">
        <f aca="false">IF(F8="","",IF(F8='Answer Key'!F8,"✓","Try again"))</f>
        <v/>
      </c>
      <c r="H8" s="11"/>
      <c r="I8" s="10" t="str">
        <f aca="false">IF(H8="","",IF(ROUND(H8,2)=ROUND('Answer Key'!G8,2),"✓","Try again"))</f>
        <v/>
      </c>
    </row>
    <row r="9" customFormat="false" ht="15" hidden="false" customHeight="false" outlineLevel="0" collapsed="false">
      <c r="A9" s="7" t="n">
        <v>5</v>
      </c>
      <c r="B9" s="8" t="n">
        <v>21.54</v>
      </c>
      <c r="C9" s="8" t="n">
        <v>21.86</v>
      </c>
      <c r="D9" s="8" t="n">
        <v>21.22</v>
      </c>
      <c r="E9" s="8" t="n">
        <v>21.54</v>
      </c>
      <c r="F9" s="9"/>
      <c r="G9" s="10" t="str">
        <f aca="false">IF(F9="","",IF(F9='Answer Key'!F9,"✓","Try again"))</f>
        <v/>
      </c>
      <c r="H9" s="11"/>
      <c r="I9" s="10" t="str">
        <f aca="false">IF(H9="","",IF(ROUND(H9,2)=ROUND('Answer Key'!G9,2),"✓","Try again"))</f>
        <v/>
      </c>
    </row>
    <row r="10" customFormat="false" ht="15" hidden="false" customHeight="false" outlineLevel="0" collapsed="false">
      <c r="A10" s="7" t="n">
        <v>6</v>
      </c>
      <c r="B10" s="8" t="n">
        <v>21.54</v>
      </c>
      <c r="C10" s="8" t="n">
        <v>21.67</v>
      </c>
      <c r="D10" s="8" t="n">
        <v>21.24</v>
      </c>
      <c r="E10" s="8" t="n">
        <v>21.34</v>
      </c>
      <c r="F10" s="9"/>
      <c r="G10" s="10" t="str">
        <f aca="false">IF(F10="","",IF(F10='Answer Key'!F10,"✓","Try again"))</f>
        <v/>
      </c>
      <c r="H10" s="11"/>
      <c r="I10" s="10" t="str">
        <f aca="false">IF(H10="","",IF(ROUND(H10,2)=ROUND('Answer Key'!G10,2),"✓","Try again"))</f>
        <v/>
      </c>
    </row>
    <row r="11" customFormat="false" ht="15" hidden="false" customHeight="false" outlineLevel="0" collapsed="false">
      <c r="A11" s="7" t="n">
        <v>7</v>
      </c>
      <c r="B11" s="8" t="n">
        <v>21.34</v>
      </c>
      <c r="C11" s="8" t="n">
        <v>21.47</v>
      </c>
      <c r="D11" s="8" t="n">
        <v>20.66</v>
      </c>
      <c r="E11" s="8" t="n">
        <v>20.77</v>
      </c>
      <c r="F11" s="9"/>
      <c r="G11" s="10" t="str">
        <f aca="false">IF(F11="","",IF(F11='Answer Key'!F11,"✓","Try again"))</f>
        <v/>
      </c>
      <c r="H11" s="11"/>
      <c r="I11" s="10" t="str">
        <f aca="false">IF(H11="","",IF(ROUND(H11,2)=ROUND('Answer Key'!G11,2),"✓","Try again"))</f>
        <v/>
      </c>
    </row>
    <row r="12" customFormat="false" ht="15" hidden="false" customHeight="false" outlineLevel="0" collapsed="false">
      <c r="A12" s="7" t="n">
        <v>8</v>
      </c>
      <c r="B12" s="8" t="n">
        <v>20.77</v>
      </c>
      <c r="C12" s="8" t="n">
        <v>20.84</v>
      </c>
      <c r="D12" s="8" t="n">
        <v>20.3</v>
      </c>
      <c r="E12" s="8" t="n">
        <v>20.37</v>
      </c>
      <c r="F12" s="9"/>
      <c r="G12" s="10" t="str">
        <f aca="false">IF(F12="","",IF(F12='Answer Key'!F12,"✓","Try again"))</f>
        <v/>
      </c>
      <c r="H12" s="11"/>
      <c r="I12" s="10" t="str">
        <f aca="false">IF(H12="","",IF(ROUND(H12,2)=ROUND('Answer Key'!G12,2),"✓","Try again"))</f>
        <v/>
      </c>
    </row>
    <row r="13" customFormat="false" ht="15" hidden="false" customHeight="false" outlineLevel="0" collapsed="false">
      <c r="A13" s="7" t="n">
        <v>9</v>
      </c>
      <c r="B13" s="8" t="n">
        <v>20.37</v>
      </c>
      <c r="C13" s="8" t="n">
        <v>20.54</v>
      </c>
      <c r="D13" s="8" t="n">
        <v>19.84</v>
      </c>
      <c r="E13" s="8" t="n">
        <v>19.96</v>
      </c>
      <c r="F13" s="9"/>
      <c r="G13" s="10" t="str">
        <f aca="false">IF(F13="","",IF(F13='Answer Key'!F13,"✓","Try again"))</f>
        <v/>
      </c>
      <c r="H13" s="11"/>
      <c r="I13" s="10" t="str">
        <f aca="false">IF(H13="","",IF(ROUND(H13,2)=ROUND('Answer Key'!G13,2),"✓","Try again"))</f>
        <v/>
      </c>
    </row>
    <row r="14" customFormat="false" ht="15" hidden="false" customHeight="false" outlineLevel="0" collapsed="false">
      <c r="A14" s="7" t="n">
        <v>10</v>
      </c>
      <c r="B14" s="8" t="n">
        <v>19.96</v>
      </c>
      <c r="C14" s="8" t="n">
        <v>20.29</v>
      </c>
      <c r="D14" s="8" t="n">
        <v>19.86</v>
      </c>
      <c r="E14" s="8" t="n">
        <v>20.15</v>
      </c>
      <c r="F14" s="9"/>
      <c r="G14" s="10" t="str">
        <f aca="false">IF(F14="","",IF(F14='Answer Key'!F14,"✓","Try again"))</f>
        <v/>
      </c>
      <c r="H14" s="11"/>
      <c r="I14" s="10" t="str">
        <f aca="false">IF(H14="","",IF(ROUND(H14,2)=ROUND('Answer Key'!G14,2),"✓","Try again"))</f>
        <v/>
      </c>
    </row>
    <row r="15" customFormat="false" ht="15" hidden="false" customHeight="false" outlineLevel="0" collapsed="false">
      <c r="A15" s="7" t="n">
        <v>11</v>
      </c>
      <c r="B15" s="8" t="n">
        <v>20.15</v>
      </c>
      <c r="C15" s="8" t="n">
        <v>20.78</v>
      </c>
      <c r="D15" s="8" t="n">
        <v>20.04</v>
      </c>
      <c r="E15" s="8" t="n">
        <v>20.62</v>
      </c>
      <c r="F15" s="9"/>
      <c r="G15" s="10" t="str">
        <f aca="false">IF(F15="","",IF(F15='Answer Key'!F15,"✓","Try again"))</f>
        <v/>
      </c>
      <c r="H15" s="11"/>
      <c r="I15" s="10" t="str">
        <f aca="false">IF(H15="","",IF(ROUND(H15,2)=ROUND('Answer Key'!G15,2),"✓","Try again"))</f>
        <v/>
      </c>
    </row>
    <row r="16" customFormat="false" ht="15" hidden="false" customHeight="false" outlineLevel="0" collapsed="false">
      <c r="A16" s="7" t="n">
        <v>12</v>
      </c>
      <c r="B16" s="8" t="n">
        <v>20.62</v>
      </c>
      <c r="C16" s="8" t="n">
        <v>20.73</v>
      </c>
      <c r="D16" s="8" t="n">
        <v>20.29</v>
      </c>
      <c r="E16" s="8" t="n">
        <v>20.37</v>
      </c>
      <c r="F16" s="9"/>
      <c r="G16" s="10" t="str">
        <f aca="false">IF(F16="","",IF(F16='Answer Key'!F16,"✓","Try again"))</f>
        <v/>
      </c>
      <c r="H16" s="11"/>
      <c r="I16" s="10" t="str">
        <f aca="false">IF(H16="","",IF(ROUND(H16,2)=ROUND('Answer Key'!G16,2),"✓","Try again"))</f>
        <v/>
      </c>
    </row>
    <row r="18" customFormat="false" ht="15" hidden="false" customHeight="false" outlineLevel="0" collapsed="false">
      <c r="A18" s="12" t="s">
        <v>20</v>
      </c>
      <c r="B18" s="13" t="str">
        <f aca="false">(COUNTIF(G5:G16,"✓")+COUNTIF(I5:I16,"✓"))&amp;" / 24 correct"</f>
        <v>0 / 24 correct</v>
      </c>
    </row>
  </sheetData>
  <dataValidations count="1">
    <dataValidation allowBlank="true" errorStyle="stop" operator="between" showDropDown="false" showErrorMessage="false" showInputMessage="false" sqref="F5:F16" type="list">
      <formula1>"Bullish,Bearish,Doji"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21</v>
      </c>
    </row>
    <row r="2" customFormat="false" ht="15" hidden="false" customHeight="false" outlineLevel="0" collapsed="false">
      <c r="A2" s="2" t="s">
        <v>22</v>
      </c>
    </row>
    <row r="4" customFormat="false" ht="33.75" hidden="false" customHeight="true" outlineLevel="0" collapsed="false">
      <c r="A4" s="6" t="s">
        <v>23</v>
      </c>
      <c r="B4" s="6" t="s">
        <v>24</v>
      </c>
      <c r="C4" s="6" t="s">
        <v>25</v>
      </c>
      <c r="D4" s="6" t="s">
        <v>18</v>
      </c>
    </row>
    <row r="5" customFormat="false" ht="48" hidden="false" customHeight="true" outlineLevel="0" collapsed="false">
      <c r="A5" s="7" t="n">
        <v>1</v>
      </c>
      <c r="B5" s="14" t="s">
        <v>26</v>
      </c>
      <c r="C5" s="9"/>
      <c r="D5" s="10" t="str">
        <f aca="false">IF(C5="","",IF(C5='Answer Key'!B23,"✓","Try again"))</f>
        <v/>
      </c>
    </row>
    <row r="6" customFormat="false" ht="21.75" hidden="false" customHeight="true" outlineLevel="0" collapsed="false">
      <c r="A6" s="7" t="n">
        <v>2</v>
      </c>
      <c r="B6" s="14" t="s">
        <v>27</v>
      </c>
      <c r="C6" s="9"/>
      <c r="D6" s="10" t="str">
        <f aca="false">IF(C6="","",IF(C6='Answer Key'!B24,"✓","Try again"))</f>
        <v/>
      </c>
    </row>
    <row r="7" customFormat="false" ht="21.75" hidden="false" customHeight="true" outlineLevel="0" collapsed="false">
      <c r="A7" s="7" t="n">
        <v>3</v>
      </c>
      <c r="B7" s="14" t="s">
        <v>28</v>
      </c>
      <c r="C7" s="9"/>
      <c r="D7" s="10" t="str">
        <f aca="false">IF(C7="","",IF(C7='Answer Key'!B25,"✓","Try again"))</f>
        <v/>
      </c>
    </row>
    <row r="8" customFormat="false" ht="21.75" hidden="false" customHeight="true" outlineLevel="0" collapsed="false">
      <c r="A8" s="7" t="n">
        <v>4</v>
      </c>
      <c r="B8" s="14" t="s">
        <v>29</v>
      </c>
      <c r="C8" s="9"/>
      <c r="D8" s="10" t="str">
        <f aca="false">IF(C8="","",IF(C8='Answer Key'!B26,"✓","Try again"))</f>
        <v/>
      </c>
    </row>
    <row r="9" customFormat="false" ht="21.75" hidden="false" customHeight="true" outlineLevel="0" collapsed="false">
      <c r="A9" s="7" t="n">
        <v>5</v>
      </c>
      <c r="B9" s="14" t="s">
        <v>30</v>
      </c>
      <c r="C9" s="9"/>
      <c r="D9" s="10" t="str">
        <f aca="false">IF(C9="","",IF(C9='Answer Key'!B27,"✓","Try again"))</f>
        <v/>
      </c>
    </row>
    <row r="11" customFormat="false" ht="15" hidden="false" customHeight="false" outlineLevel="0" collapsed="false">
      <c r="A11" s="12" t="s">
        <v>20</v>
      </c>
      <c r="B11" s="13"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31</v>
      </c>
    </row>
    <row r="2" customFormat="false" ht="15" hidden="false" customHeight="false" outlineLevel="0" collapsed="false">
      <c r="A2" s="2"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4"/>
    <col collapsed="false" customWidth="true" hidden="false" outlineLevel="0" max="7" min="7" style="0" width="18.9"/>
  </cols>
  <sheetData>
    <row r="1" customFormat="false" ht="17.35" hidden="false" customHeight="false" outlineLevel="0" collapsed="false">
      <c r="A1" s="5" t="s">
        <v>33</v>
      </c>
    </row>
    <row r="2" customFormat="false" ht="15" hidden="false" customHeight="false" outlineLevel="0" collapsed="false">
      <c r="A2" s="2" t="s">
        <v>34</v>
      </c>
    </row>
    <row r="4" customFormat="false" ht="33.75" hidden="false" customHeight="true" outlineLevel="0" collapsed="false">
      <c r="A4" s="6" t="s">
        <v>12</v>
      </c>
      <c r="B4" s="6" t="s">
        <v>13</v>
      </c>
      <c r="C4" s="6" t="s">
        <v>14</v>
      </c>
      <c r="D4" s="6" t="s">
        <v>15</v>
      </c>
      <c r="E4" s="6" t="s">
        <v>16</v>
      </c>
      <c r="F4" s="6" t="s">
        <v>17</v>
      </c>
      <c r="G4" s="6" t="s">
        <v>19</v>
      </c>
    </row>
    <row r="5" customFormat="false" ht="15" hidden="false" customHeight="false" outlineLevel="0" collapsed="false">
      <c r="A5" s="7" t="n">
        <v>1</v>
      </c>
      <c r="B5" s="8" t="n">
        <v>20</v>
      </c>
      <c r="C5" s="8" t="n">
        <v>20.44</v>
      </c>
      <c r="D5" s="8" t="n">
        <v>19.89</v>
      </c>
      <c r="E5" s="8" t="n">
        <v>20.38</v>
      </c>
      <c r="F5" s="7" t="str">
        <f aca="false">IF(E5&gt;B5,"Bullish",IF(E5&lt;B5,"Bearish","Doji"))</f>
        <v>Bullish</v>
      </c>
      <c r="G5" s="15" t="n">
        <f aca="false">E5-B5</f>
        <v>0.379999999999999</v>
      </c>
    </row>
    <row r="6" customFormat="false" ht="15" hidden="false" customHeight="false" outlineLevel="0" collapsed="false">
      <c r="A6" s="7" t="n">
        <v>2</v>
      </c>
      <c r="B6" s="8" t="n">
        <v>20.38</v>
      </c>
      <c r="C6" s="8" t="n">
        <v>20.88</v>
      </c>
      <c r="D6" s="8" t="n">
        <v>20.31</v>
      </c>
      <c r="E6" s="8" t="n">
        <v>20.82</v>
      </c>
      <c r="F6" s="7" t="str">
        <f aca="false">IF(E6&gt;B6,"Bullish",IF(E6&lt;B6,"Bearish","Doji"))</f>
        <v>Bullish</v>
      </c>
      <c r="G6" s="15" t="n">
        <f aca="false">E6-B6</f>
        <v>0.440000000000001</v>
      </c>
    </row>
    <row r="7" customFormat="false" ht="15" hidden="false" customHeight="false" outlineLevel="0" collapsed="false">
      <c r="A7" s="7" t="n">
        <v>3</v>
      </c>
      <c r="B7" s="8" t="n">
        <v>20.82</v>
      </c>
      <c r="C7" s="8" t="n">
        <v>21.47</v>
      </c>
      <c r="D7" s="8" t="n">
        <v>20.66</v>
      </c>
      <c r="E7" s="8" t="n">
        <v>21.35</v>
      </c>
      <c r="F7" s="7" t="str">
        <f aca="false">IF(E7&gt;B7,"Bullish",IF(E7&lt;B7,"Bearish","Doji"))</f>
        <v>Bullish</v>
      </c>
      <c r="G7" s="15" t="n">
        <f aca="false">E7-B7</f>
        <v>0.530000000000001</v>
      </c>
    </row>
    <row r="8" customFormat="false" ht="15" hidden="false" customHeight="false" outlineLevel="0" collapsed="false">
      <c r="A8" s="7" t="n">
        <v>4</v>
      </c>
      <c r="B8" s="8" t="n">
        <v>21.35</v>
      </c>
      <c r="C8" s="8" t="n">
        <v>21.67</v>
      </c>
      <c r="D8" s="8" t="n">
        <v>21.28</v>
      </c>
      <c r="E8" s="8" t="n">
        <v>21.54</v>
      </c>
      <c r="F8" s="7" t="str">
        <f aca="false">IF(E8&gt;B8,"Bullish",IF(E8&lt;B8,"Bearish","Doji"))</f>
        <v>Bullish</v>
      </c>
      <c r="G8" s="15" t="n">
        <f aca="false">E8-B8</f>
        <v>0.189999999999998</v>
      </c>
    </row>
    <row r="9" customFormat="false" ht="15" hidden="false" customHeight="false" outlineLevel="0" collapsed="false">
      <c r="A9" s="7" t="n">
        <v>5</v>
      </c>
      <c r="B9" s="8" t="n">
        <v>21.54</v>
      </c>
      <c r="C9" s="8" t="n">
        <v>21.86</v>
      </c>
      <c r="D9" s="8" t="n">
        <v>21.22</v>
      </c>
      <c r="E9" s="8" t="n">
        <v>21.54</v>
      </c>
      <c r="F9" s="7" t="str">
        <f aca="false">IF(E9&gt;B9,"Bullish",IF(E9&lt;B9,"Bearish","Doji"))</f>
        <v>Doji</v>
      </c>
      <c r="G9" s="15" t="n">
        <f aca="false">E9-B9</f>
        <v>0</v>
      </c>
    </row>
    <row r="10" customFormat="false" ht="15" hidden="false" customHeight="false" outlineLevel="0" collapsed="false">
      <c r="A10" s="7" t="n">
        <v>6</v>
      </c>
      <c r="B10" s="8" t="n">
        <v>21.54</v>
      </c>
      <c r="C10" s="8" t="n">
        <v>21.67</v>
      </c>
      <c r="D10" s="8" t="n">
        <v>21.24</v>
      </c>
      <c r="E10" s="8" t="n">
        <v>21.34</v>
      </c>
      <c r="F10" s="7" t="str">
        <f aca="false">IF(E10&gt;B10,"Bullish",IF(E10&lt;B10,"Bearish","Doji"))</f>
        <v>Bearish</v>
      </c>
      <c r="G10" s="15" t="n">
        <f aca="false">E10-B10</f>
        <v>-0.199999999999999</v>
      </c>
    </row>
    <row r="11" customFormat="false" ht="15" hidden="false" customHeight="false" outlineLevel="0" collapsed="false">
      <c r="A11" s="7" t="n">
        <v>7</v>
      </c>
      <c r="B11" s="8" t="n">
        <v>21.34</v>
      </c>
      <c r="C11" s="8" t="n">
        <v>21.47</v>
      </c>
      <c r="D11" s="8" t="n">
        <v>20.66</v>
      </c>
      <c r="E11" s="8" t="n">
        <v>20.77</v>
      </c>
      <c r="F11" s="7" t="str">
        <f aca="false">IF(E11&gt;B11,"Bullish",IF(E11&lt;B11,"Bearish","Doji"))</f>
        <v>Bearish</v>
      </c>
      <c r="G11" s="15" t="n">
        <f aca="false">E11-B11</f>
        <v>-0.57</v>
      </c>
    </row>
    <row r="12" customFormat="false" ht="15" hidden="false" customHeight="false" outlineLevel="0" collapsed="false">
      <c r="A12" s="7" t="n">
        <v>8</v>
      </c>
      <c r="B12" s="8" t="n">
        <v>20.77</v>
      </c>
      <c r="C12" s="8" t="n">
        <v>20.84</v>
      </c>
      <c r="D12" s="8" t="n">
        <v>20.3</v>
      </c>
      <c r="E12" s="8" t="n">
        <v>20.37</v>
      </c>
      <c r="F12" s="7" t="str">
        <f aca="false">IF(E12&gt;B12,"Bullish",IF(E12&lt;B12,"Bearish","Doji"))</f>
        <v>Bearish</v>
      </c>
      <c r="G12" s="15" t="n">
        <f aca="false">E12-B12</f>
        <v>-0.399999999999999</v>
      </c>
    </row>
    <row r="13" customFormat="false" ht="15" hidden="false" customHeight="false" outlineLevel="0" collapsed="false">
      <c r="A13" s="7" t="n">
        <v>9</v>
      </c>
      <c r="B13" s="8" t="n">
        <v>20.37</v>
      </c>
      <c r="C13" s="8" t="n">
        <v>20.54</v>
      </c>
      <c r="D13" s="8" t="n">
        <v>19.84</v>
      </c>
      <c r="E13" s="8" t="n">
        <v>19.96</v>
      </c>
      <c r="F13" s="7" t="str">
        <f aca="false">IF(E13&gt;B13,"Bullish",IF(E13&lt;B13,"Bearish","Doji"))</f>
        <v>Bearish</v>
      </c>
      <c r="G13" s="15" t="n">
        <f aca="false">E13-B13</f>
        <v>-0.41</v>
      </c>
    </row>
    <row r="14" customFormat="false" ht="15" hidden="false" customHeight="false" outlineLevel="0" collapsed="false">
      <c r="A14" s="7" t="n">
        <v>10</v>
      </c>
      <c r="B14" s="8" t="n">
        <v>19.96</v>
      </c>
      <c r="C14" s="8" t="n">
        <v>20.29</v>
      </c>
      <c r="D14" s="8" t="n">
        <v>19.86</v>
      </c>
      <c r="E14" s="8" t="n">
        <v>20.15</v>
      </c>
      <c r="F14" s="7" t="str">
        <f aca="false">IF(E14&gt;B14,"Bullish",IF(E14&lt;B14,"Bearish","Doji"))</f>
        <v>Bullish</v>
      </c>
      <c r="G14" s="15" t="n">
        <f aca="false">E14-B14</f>
        <v>0.189999999999998</v>
      </c>
    </row>
    <row r="15" customFormat="false" ht="15" hidden="false" customHeight="false" outlineLevel="0" collapsed="false">
      <c r="A15" s="7" t="n">
        <v>11</v>
      </c>
      <c r="B15" s="8" t="n">
        <v>20.15</v>
      </c>
      <c r="C15" s="8" t="n">
        <v>20.78</v>
      </c>
      <c r="D15" s="8" t="n">
        <v>20.04</v>
      </c>
      <c r="E15" s="8" t="n">
        <v>20.62</v>
      </c>
      <c r="F15" s="7" t="str">
        <f aca="false">IF(E15&gt;B15,"Bullish",IF(E15&lt;B15,"Bearish","Doji"))</f>
        <v>Bullish</v>
      </c>
      <c r="G15" s="15" t="n">
        <f aca="false">E15-B15</f>
        <v>0.470000000000002</v>
      </c>
    </row>
    <row r="16" customFormat="false" ht="15" hidden="false" customHeight="false" outlineLevel="0" collapsed="false">
      <c r="A16" s="7" t="n">
        <v>12</v>
      </c>
      <c r="B16" s="8" t="n">
        <v>20.62</v>
      </c>
      <c r="C16" s="8" t="n">
        <v>20.73</v>
      </c>
      <c r="D16" s="8" t="n">
        <v>20.29</v>
      </c>
      <c r="E16" s="8" t="n">
        <v>20.37</v>
      </c>
      <c r="F16" s="7" t="str">
        <f aca="false">IF(E16&gt;B16,"Bullish",IF(E16&lt;B16,"Bearish","Doji"))</f>
        <v>Bearish</v>
      </c>
      <c r="G16" s="15" t="n">
        <f aca="false">E16-B16</f>
        <v>-0.25</v>
      </c>
    </row>
    <row r="22" customFormat="false" ht="15" hidden="false" customHeight="false" outlineLevel="0" collapsed="false">
      <c r="A22" s="13" t="s">
        <v>35</v>
      </c>
    </row>
    <row r="23" customFormat="false" ht="15" hidden="false" customHeight="false" outlineLevel="0" collapsed="false">
      <c r="A23" s="7" t="n">
        <v>1</v>
      </c>
      <c r="B23" s="7" t="s">
        <v>36</v>
      </c>
    </row>
    <row r="24" customFormat="false" ht="15" hidden="false" customHeight="false" outlineLevel="0" collapsed="false">
      <c r="A24" s="7" t="n">
        <v>2</v>
      </c>
      <c r="B24" s="7" t="s">
        <v>37</v>
      </c>
    </row>
    <row r="25" customFormat="false" ht="15" hidden="false" customHeight="false" outlineLevel="0" collapsed="false">
      <c r="A25" s="7" t="n">
        <v>3</v>
      </c>
      <c r="B25" s="7" t="s">
        <v>38</v>
      </c>
    </row>
    <row r="26" customFormat="false" ht="15" hidden="false" customHeight="false" outlineLevel="0" collapsed="false">
      <c r="A26" s="7" t="n">
        <v>4</v>
      </c>
      <c r="B26" s="7" t="s">
        <v>37</v>
      </c>
    </row>
    <row r="27" customFormat="false" ht="15" hidden="false" customHeight="false" outlineLevel="0" collapsed="false">
      <c r="A27" s="7" t="n">
        <v>5</v>
      </c>
      <c r="B27" s="7"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2026-10-11T13:43:09Z</dcterms:created>
  <dc:creator>openpyxl</dc:creator>
  <dc:description/>
  <dc:language>en-US</dc:language>
  <cp:lastModifiedBy/>
  <dcterms:modified xsi:type="dcterms:W3CDTF">2026-10-11T13:43:44Z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