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Quiz" sheetId="3" state="visible" r:id="rId5"/>
    <sheet name="Chart" sheetId="4" state="visible" r:id="rId6"/>
    <sheet name="Answer Ke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<sst xmlns="http://schemas.openxmlformats.org/spreadsheetml/2006/main" count="55" uniqueCount="41">
  <si>
    <t xml:space="preserve">Practice: Wicks: Rejection and Pressure</t>
  </si>
  <si>
    <t xml:space="preserve">Basics of Candlesticks course · Illustrative practice data (prices in AED)</t>
  </si>
  <si>
    <t xml:space="preserve">Your task</t>
  </si>
  <si>
    <t xml:space="preserve">1. Calculate each candle's upper and lower wick as a percentage of its range</t>
  </si>
  <si>
    <t xml:space="preserve">2. Mark a signal where a wick is 50% of the range or more</t>
  </si>
  <si>
    <t xml:space="preserve">3. Compare your answers with the Chart tab</t>
  </si>
  <si>
    <t xml:space="preserve">4. Then answer the five questions on the Quiz tab.</t>
  </si>
  <si>
    <t xml:space="preserve">5.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</si>
  <si>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</si>
  <si>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</si>
  <si>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Practice: Read the Wicks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</si>
  <si>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</si>
  <si>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</si>
  <si>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</si>
  <si>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</si>
  <si>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</si>
  <si>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</si>
  <si>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Upper wick % of range</t>
  </si>
  <si>
    <t xml:space="preserve">Check</t>
  </si>
  <si>
    <t xml:space="preserve">Lower wick % of range</t>
  </si>
  <si>
    <t xml:space="preserve">Signal</t>
  </si>
  <si>
    <t xml:space="preserve">A wick of 50% or more of the range = strong rejection.</t>
  </si>
  <si>
    <t xml:space="preserve">Score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</si>
  <si>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</si>
  <si>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</si>
  <si>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</si>
  <si>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</si>
  <si>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</si>
  <si>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After a strong rise, a candle has a long upper wick and a small body near its low. What does the wick suggest? (See the quiz chart in the video.)  A) Buyers are getting stronger   B) Nothing: wicks don't matter   C) Sellers pushed back from higher prices   D) The rise is guaranteed to continue</t>
  </si>
  <si>
    <t xml:space="preserve">A long lower wick shows buying pressure.</t>
  </si>
  <si>
    <t xml:space="preserve">Wicks show prices that held until the close.</t>
  </si>
  <si>
    <t xml:space="preserve">A wick half the range or more shows strong rejection.</t>
  </si>
  <si>
    <t xml:space="preserve">Wick location doesn't matter.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</si>
  <si>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</si>
  <si>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</si>
  <si>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</si>
  <si>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</si>
  <si>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Quiz answers</t>
  </si>
  <si>
    <t xml:space="preserve">C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</si>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</sst>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Practice!$B$5:$B$15</c:f>
              <c:numCache>
                <c:formatCode>0.00</c:formatCode>
                <c:ptCount val="11"/>
                <c:pt idx="0">
                  <c:v>20</c:v>
                </c:pt>
                <c:pt idx="1">
                  <c:v>19.62</c:v>
                </c:pt>
                <c:pt idx="2">
                  <c:v>19.14</c:v>
                </c:pt>
                <c:pt idx="3">
                  <c:v>19.3</c:v>
                </c:pt>
                <c:pt idx="4">
                  <c:v>19.8</c:v>
                </c:pt>
                <c:pt idx="5">
                  <c:v>20.41</c:v>
                </c:pt>
                <c:pt idx="6">
                  <c:v>20.25</c:v>
                </c:pt>
                <c:pt idx="7">
                  <c:v>19.97</c:v>
                </c:pt>
                <c:pt idx="8">
                  <c:v>20.48</c:v>
                </c:pt>
                <c:pt idx="9">
                  <c:v>20.48</c:v>
                </c:pt>
                <c:pt idx="10">
                  <c:v>20.62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Practice!$C$5:$C$15</c:f>
              <c:numCache>
                <c:formatCode>0.00</c:formatCode>
                <c:ptCount val="11"/>
                <c:pt idx="0">
                  <c:v>20.06</c:v>
                </c:pt>
                <c:pt idx="1">
                  <c:v>19.68</c:v>
                </c:pt>
                <c:pt idx="2">
                  <c:v>19.32</c:v>
                </c:pt>
                <c:pt idx="3">
                  <c:v>19.96</c:v>
                </c:pt>
                <c:pt idx="4">
                  <c:v>20.46</c:v>
                </c:pt>
                <c:pt idx="5">
                  <c:v>21.09</c:v>
                </c:pt>
                <c:pt idx="6">
                  <c:v>20.35</c:v>
                </c:pt>
                <c:pt idx="7">
                  <c:v>20.59</c:v>
                </c:pt>
                <c:pt idx="8">
                  <c:v>20.8</c:v>
                </c:pt>
                <c:pt idx="9">
                  <c:v>20.77</c:v>
                </c:pt>
                <c:pt idx="10">
                  <c:v>21.34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Practice!$D$5:$D$15</c:f>
              <c:numCache>
                <c:formatCode>0.00</c:formatCode>
                <c:ptCount val="11"/>
                <c:pt idx="0">
                  <c:v>19.52</c:v>
                </c:pt>
                <c:pt idx="1">
                  <c:v>19.11</c:v>
                </c:pt>
                <c:pt idx="2">
                  <c:v>18.5</c:v>
                </c:pt>
                <c:pt idx="3">
                  <c:v>19.13</c:v>
                </c:pt>
                <c:pt idx="4">
                  <c:v>19.72</c:v>
                </c:pt>
                <c:pt idx="5">
                  <c:v>20.23</c:v>
                </c:pt>
                <c:pt idx="6">
                  <c:v>19.86</c:v>
                </c:pt>
                <c:pt idx="7">
                  <c:v>19.85</c:v>
                </c:pt>
                <c:pt idx="8">
                  <c:v>20.16</c:v>
                </c:pt>
                <c:pt idx="9">
                  <c:v>20.42</c:v>
                </c:pt>
                <c:pt idx="10">
                  <c:v>20.6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Practice!$A$5:$A$15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Practice!$E$5:$E$15</c:f>
              <c:numCache>
                <c:formatCode>0.00</c:formatCode>
                <c:ptCount val="11"/>
                <c:pt idx="0">
                  <c:v>19.62</c:v>
                </c:pt>
                <c:pt idx="1">
                  <c:v>19.18</c:v>
                </c:pt>
                <c:pt idx="2">
                  <c:v>19.3</c:v>
                </c:pt>
                <c:pt idx="3">
                  <c:v>19.8</c:v>
                </c:pt>
                <c:pt idx="4">
                  <c:v>20.37</c:v>
                </c:pt>
                <c:pt idx="5">
                  <c:v>20.25</c:v>
                </c:pt>
                <c:pt idx="6">
                  <c:v>19.97</c:v>
                </c:pt>
                <c:pt idx="7">
                  <c:v>20.48</c:v>
                </c:pt>
                <c:pt idx="8">
                  <c:v>20.48</c:v>
                </c:pt>
                <c:pt idx="9">
                  <c:v>20.66</c:v>
                </c:pt>
                <c:pt idx="10">
                  <c:v>20.78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23564371"/>
        <c:axId val="82003972"/>
      </c:stockChart>
      <c:catAx>
        <c:axId val="235643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03972"/>
        <c:crosses val="autoZero"/>
        <c:auto val="1"/>
        <c:lblAlgn val="ctr"/>
        <c:lblOffset val="100"/>
        <c:noMultiLvlLbl val="0"/>
      </c:catAx>
      <c:valAx>
        <c:axId val="82003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643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/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8.9"/>
    <col collapsed="false" customWidth="true" hidden="false" outlineLevel="0" max="7" min="7" style="0" width="11"/>
    <col collapsed="false" customWidth="true" hidden="false" outlineLevel="0" max="8" min="8" style="0" width="18.9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5" t="s">
        <v>10</v>
      </c>
    </row>
    <row r="2" customFormat="false" ht="15" hidden="false" customHeight="false" outlineLevel="0" collapsed="false">
      <c r="A2" s="2" t="s">
        <v>11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18</v>
      </c>
      <c r="J4" s="6" t="s">
        <v>20</v>
      </c>
      <c r="K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9"/>
      <c r="G5" s="10" t="str">
        <f aca="false">IF(F5="","",IF(ROUND(F5,2)=ROUND('Answer Key'!F5,2),"✓","Try again"))</f>
        <v/>
      </c>
      <c r="H5" s="9"/>
      <c r="I5" s="10" t="str">
        <f aca="false">IF(H5="","",IF(ROUND(H5,2)=ROUND('Answer Key'!G5,2),"✓","Try again"))</f>
        <v/>
      </c>
      <c r="J5" s="11"/>
      <c r="K5" s="10" t="str">
        <f aca="false">IF(J5="","",IF(J5='Answer Key'!H5,"✓","Try again"))</f>
        <v/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9"/>
      <c r="G6" s="10" t="str">
        <f aca="false">IF(F6="","",IF(ROUND(F6,2)=ROUND('Answer Key'!F6,2),"✓","Try again"))</f>
        <v/>
      </c>
      <c r="H6" s="9"/>
      <c r="I6" s="10" t="str">
        <f aca="false">IF(H6="","",IF(ROUND(H6,2)=ROUND('Answer Key'!G6,2),"✓","Try again"))</f>
        <v/>
      </c>
      <c r="J6" s="11"/>
      <c r="K6" s="10" t="str">
        <f aca="false">IF(J6="","",IF(J6='Answer Key'!H6,"✓","Try again"))</f>
        <v/>
      </c>
    </row>
    <row r="7" customFormat="false" ht="15" hidden="false" customHeight="false" outlineLevel="0" collapsed="false">
      <c r="A7" s="7" t="n">
        <v>3</v>
      </c>
      <c r="B7" s="8" t="n">
        <v>19.14</v>
      </c>
      <c r="C7" s="8" t="n">
        <v>19.32</v>
      </c>
      <c r="D7" s="8" t="n">
        <v>18.5</v>
      </c>
      <c r="E7" s="8" t="n">
        <v>19.3</v>
      </c>
      <c r="F7" s="9"/>
      <c r="G7" s="10" t="str">
        <f aca="false">IF(F7="","",IF(ROUND(F7,2)=ROUND('Answer Key'!F7,2),"✓","Try again"))</f>
        <v/>
      </c>
      <c r="H7" s="9"/>
      <c r="I7" s="10" t="str">
        <f aca="false">IF(H7="","",IF(ROUND(H7,2)=ROUND('Answer Key'!G7,2),"✓","Try again"))</f>
        <v/>
      </c>
      <c r="J7" s="11"/>
      <c r="K7" s="10" t="str">
        <f aca="false">IF(J7="","",IF(J7='Answer Key'!H7,"✓","Try again"))</f>
        <v/>
      </c>
    </row>
    <row r="8" customFormat="false" ht="15" hidden="false" customHeight="false" outlineLevel="0" collapsed="false">
      <c r="A8" s="7" t="n">
        <v>4</v>
      </c>
      <c r="B8" s="8" t="n">
        <v>19.3</v>
      </c>
      <c r="C8" s="8" t="n">
        <v>19.96</v>
      </c>
      <c r="D8" s="8" t="n">
        <v>19.13</v>
      </c>
      <c r="E8" s="8" t="n">
        <v>19.8</v>
      </c>
      <c r="F8" s="9"/>
      <c r="G8" s="10" t="str">
        <f aca="false">IF(F8="","",IF(ROUND(F8,2)=ROUND('Answer Key'!F8,2),"✓","Try again"))</f>
        <v/>
      </c>
      <c r="H8" s="9"/>
      <c r="I8" s="10" t="str">
        <f aca="false">IF(H8="","",IF(ROUND(H8,2)=ROUND('Answer Key'!G8,2),"✓","Try again"))</f>
        <v/>
      </c>
      <c r="J8" s="11"/>
      <c r="K8" s="10" t="str">
        <f aca="false">IF(J8="","",IF(J8='Answer Key'!H8,"✓","Try again"))</f>
        <v/>
      </c>
    </row>
    <row r="9" customFormat="false" ht="15" hidden="false" customHeight="false" outlineLevel="0" collapsed="false">
      <c r="A9" s="7" t="n">
        <v>5</v>
      </c>
      <c r="B9" s="8" t="n">
        <v>19.8</v>
      </c>
      <c r="C9" s="8" t="n">
        <v>20.46</v>
      </c>
      <c r="D9" s="8" t="n">
        <v>19.72</v>
      </c>
      <c r="E9" s="8" t="n">
        <v>20.37</v>
      </c>
      <c r="F9" s="9"/>
      <c r="G9" s="10" t="str">
        <f aca="false">IF(F9="","",IF(ROUND(F9,2)=ROUND('Answer Key'!F9,2),"✓","Try again"))</f>
        <v/>
      </c>
      <c r="H9" s="9"/>
      <c r="I9" s="10" t="str">
        <f aca="false">IF(H9="","",IF(ROUND(H9,2)=ROUND('Answer Key'!G9,2),"✓","Try again"))</f>
        <v/>
      </c>
      <c r="J9" s="11"/>
      <c r="K9" s="10" t="str">
        <f aca="false">IF(J9="","",IF(J9='Answer Key'!H9,"✓","Try again"))</f>
        <v/>
      </c>
    </row>
    <row r="10" customFormat="false" ht="15" hidden="false" customHeight="false" outlineLevel="0" collapsed="false">
      <c r="A10" s="7" t="n">
        <v>6</v>
      </c>
      <c r="B10" s="8" t="n">
        <v>20.41</v>
      </c>
      <c r="C10" s="8" t="n">
        <v>21.09</v>
      </c>
      <c r="D10" s="8" t="n">
        <v>20.23</v>
      </c>
      <c r="E10" s="8" t="n">
        <v>20.25</v>
      </c>
      <c r="F10" s="9"/>
      <c r="G10" s="10" t="str">
        <f aca="false">IF(F10="","",IF(ROUND(F10,2)=ROUND('Answer Key'!F10,2),"✓","Try again"))</f>
        <v/>
      </c>
      <c r="H10" s="9"/>
      <c r="I10" s="10" t="str">
        <f aca="false">IF(H10="","",IF(ROUND(H10,2)=ROUND('Answer Key'!G10,2),"✓","Try again"))</f>
        <v/>
      </c>
      <c r="J10" s="11"/>
      <c r="K10" s="10" t="str">
        <f aca="false">IF(J10="","",IF(J10='Answer Key'!H10,"✓","Try again"))</f>
        <v/>
      </c>
    </row>
    <row r="11" customFormat="false" ht="15" hidden="false" customHeight="false" outlineLevel="0" collapsed="false">
      <c r="A11" s="7" t="n">
        <v>7</v>
      </c>
      <c r="B11" s="8" t="n">
        <v>20.25</v>
      </c>
      <c r="C11" s="8" t="n">
        <v>20.35</v>
      </c>
      <c r="D11" s="8" t="n">
        <v>19.86</v>
      </c>
      <c r="E11" s="8" t="n">
        <v>19.97</v>
      </c>
      <c r="F11" s="9"/>
      <c r="G11" s="10" t="str">
        <f aca="false">IF(F11="","",IF(ROUND(F11,2)=ROUND('Answer Key'!F11,2),"✓","Try again"))</f>
        <v/>
      </c>
      <c r="H11" s="9"/>
      <c r="I11" s="10" t="str">
        <f aca="false">IF(H11="","",IF(ROUND(H11,2)=ROUND('Answer Key'!G11,2),"✓","Try again"))</f>
        <v/>
      </c>
      <c r="J11" s="11"/>
      <c r="K11" s="10" t="str">
        <f aca="false">IF(J11="","",IF(J11='Answer Key'!H11,"✓","Try again"))</f>
        <v/>
      </c>
    </row>
    <row r="12" customFormat="false" ht="15" hidden="false" customHeight="false" outlineLevel="0" collapsed="false">
      <c r="A12" s="7" t="n">
        <v>8</v>
      </c>
      <c r="B12" s="8" t="n">
        <v>19.97</v>
      </c>
      <c r="C12" s="8" t="n">
        <v>20.59</v>
      </c>
      <c r="D12" s="8" t="n">
        <v>19.85</v>
      </c>
      <c r="E12" s="8" t="n">
        <v>20.48</v>
      </c>
      <c r="F12" s="9"/>
      <c r="G12" s="10" t="str">
        <f aca="false">IF(F12="","",IF(ROUND(F12,2)=ROUND('Answer Key'!F12,2),"✓","Try again"))</f>
        <v/>
      </c>
      <c r="H12" s="9"/>
      <c r="I12" s="10" t="str">
        <f aca="false">IF(H12="","",IF(ROUND(H12,2)=ROUND('Answer Key'!G12,2),"✓","Try again"))</f>
        <v/>
      </c>
      <c r="J12" s="11"/>
      <c r="K12" s="10" t="str">
        <f aca="false">IF(J12="","",IF(J12='Answer Key'!H12,"✓","Try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20.48</v>
      </c>
      <c r="C13" s="8" t="n">
        <v>20.8</v>
      </c>
      <c r="D13" s="8" t="n">
        <v>20.16</v>
      </c>
      <c r="E13" s="8" t="n">
        <v>20.48</v>
      </c>
      <c r="F13" s="9"/>
      <c r="G13" s="10" t="str">
        <f aca="false">IF(F13="","",IF(ROUND(F13,2)=ROUND('Answer Key'!F13,2),"✓","Try again"))</f>
        <v/>
      </c>
      <c r="H13" s="9"/>
      <c r="I13" s="10" t="str">
        <f aca="false">IF(H13="","",IF(ROUND(H13,2)=ROUND('Answer Key'!G13,2),"✓","Try again"))</f>
        <v/>
      </c>
      <c r="J13" s="11"/>
      <c r="K13" s="10" t="str">
        <f aca="false">IF(J13="","",IF(J13='Answer Key'!H13,"✓","Try again"))</f>
        <v/>
      </c>
    </row>
    <row r="14" customFormat="false" ht="15" hidden="false" customHeight="false" outlineLevel="0" collapsed="false">
      <c r="A14" s="7" t="n">
        <v>10</v>
      </c>
      <c r="B14" s="8" t="n">
        <v>20.48</v>
      </c>
      <c r="C14" s="8" t="n">
        <v>20.77</v>
      </c>
      <c r="D14" s="8" t="n">
        <v>20.42</v>
      </c>
      <c r="E14" s="8" t="n">
        <v>20.66</v>
      </c>
      <c r="F14" s="9"/>
      <c r="G14" s="10" t="str">
        <f aca="false">IF(F14="","",IF(ROUND(F14,2)=ROUND('Answer Key'!F14,2),"✓","Try again"))</f>
        <v/>
      </c>
      <c r="H14" s="9"/>
      <c r="I14" s="10" t="str">
        <f aca="false">IF(H14="","",IF(ROUND(H14,2)=ROUND('Answer Key'!G14,2),"✓","Try again"))</f>
        <v/>
      </c>
      <c r="J14" s="11"/>
      <c r="K14" s="10" t="str">
        <f aca="false">IF(J14="","",IF(J14='Answer Key'!H14,"✓","Try again"))</f>
        <v/>
      </c>
    </row>
    <row r="15" customFormat="false" ht="15" hidden="false" customHeight="false" outlineLevel="0" collapsed="false">
      <c r="A15" s="7" t="n">
        <v>11</v>
      </c>
      <c r="B15" s="8" t="n">
        <v>20.62</v>
      </c>
      <c r="C15" s="8" t="n">
        <v>21.34</v>
      </c>
      <c r="D15" s="8" t="n">
        <v>20.6</v>
      </c>
      <c r="E15" s="8" t="n">
        <v>20.78</v>
      </c>
      <c r="F15" s="9"/>
      <c r="G15" s="10" t="str">
        <f aca="false">IF(F15="","",IF(ROUND(F15,2)=ROUND('Answer Key'!F15,2),"✓","Try again"))</f>
        <v/>
      </c>
      <c r="H15" s="9"/>
      <c r="I15" s="10" t="str">
        <f aca="false">IF(H15="","",IF(ROUND(H15,2)=ROUND('Answer Key'!G15,2),"✓","Try again"))</f>
        <v/>
      </c>
      <c r="J15" s="11"/>
      <c r="K15" s="10" t="str">
        <f aca="false">IF(J15="","",IF(J15='Answer Key'!H15,"✓","Try again"))</f>
        <v/>
      </c>
    </row>
    <row r="19" customFormat="false" ht="15" hidden="false" customHeight="false" outlineLevel="0" collapsed="false">
      <c r="A19" s="2" t="s">
        <v>21</v>
      </c>
    </row>
    <row r="21" customFormat="false" ht="15" hidden="false" customHeight="false" outlineLevel="0" collapsed="false">
      <c r="A21" s="12" t="s">
        <v>22</v>
      </c>
      <c r="B21" s="13" t="str">
        <f aca="false">(COUNTIF(G5:G15,"✓")+COUNTIF(I5:I15,"✓")+COUNTIF(K5:K15,"✓"))&amp;" / 33 correct"</f>
        <v>0 / 33 correct</v>
      </c>
    </row>
  </sheetData>
  <dataValidations count="1">
    <dataValidation allowBlank="true" errorStyle="stop" operator="between" showDropDown="false" showErrorMessage="false" showInputMessage="false" sqref="J5:J15" type="list">
      <formula1>"Rejection above,Rejection below,None"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23</v>
      </c>
    </row>
    <row r="2" customFormat="false" ht="15" hidden="false" customHeight="false" outlineLevel="0" collapsed="false">
      <c r="A2" s="2" t="s">
        <v>24</v>
      </c>
    </row>
    <row r="4" customFormat="false" ht="33.75" hidden="false" customHeight="true" outlineLevel="0" collapsed="false">
      <c r="A4" s="6" t="s">
        <v>25</v>
      </c>
      <c r="B4" s="6" t="s">
        <v>26</v>
      </c>
      <c r="C4" s="6" t="s">
        <v>27</v>
      </c>
      <c r="D4" s="6" t="s">
        <v>18</v>
      </c>
    </row>
    <row r="5" customFormat="false" ht="48" hidden="false" customHeight="true" outlineLevel="0" collapsed="false">
      <c r="A5" s="7" t="n">
        <v>1</v>
      </c>
      <c r="B5" s="14" t="s">
        <v>28</v>
      </c>
      <c r="C5" s="11"/>
      <c r="D5" s="10" t="str">
        <f aca="false">IF(C5="","",IF(C5='Answer Key'!B22,"✓","Try again"))</f>
        <v/>
      </c>
    </row>
    <row r="6" customFormat="false" ht="21.75" hidden="false" customHeight="true" outlineLevel="0" collapsed="false">
      <c r="A6" s="7" t="n">
        <v>2</v>
      </c>
      <c r="B6" s="14" t="s">
        <v>29</v>
      </c>
      <c r="C6" s="11"/>
      <c r="D6" s="10" t="str">
        <f aca="false">IF(C6="","",IF(C6='Answer Key'!B23,"✓","Try again"))</f>
        <v/>
      </c>
    </row>
    <row r="7" customFormat="false" ht="21.75" hidden="false" customHeight="true" outlineLevel="0" collapsed="false">
      <c r="A7" s="7" t="n">
        <v>3</v>
      </c>
      <c r="B7" s="14" t="s">
        <v>30</v>
      </c>
      <c r="C7" s="11"/>
      <c r="D7" s="10" t="str">
        <f aca="false">IF(C7="","",IF(C7='Answer Key'!B24,"✓","Try again"))</f>
        <v/>
      </c>
    </row>
    <row r="8" customFormat="false" ht="21.75" hidden="false" customHeight="true" outlineLevel="0" collapsed="false">
      <c r="A8" s="7" t="n">
        <v>4</v>
      </c>
      <c r="B8" s="14" t="s">
        <v>31</v>
      </c>
      <c r="C8" s="11"/>
      <c r="D8" s="10" t="str">
        <f aca="false">IF(C8="","",IF(C8='Answer Key'!B25,"✓","Try again"))</f>
        <v/>
      </c>
    </row>
    <row r="9" customFormat="false" ht="21.75" hidden="false" customHeight="true" outlineLevel="0" collapsed="false">
      <c r="A9" s="7" t="n">
        <v>5</v>
      </c>
      <c r="B9" s="14" t="s">
        <v>32</v>
      </c>
      <c r="C9" s="11"/>
      <c r="D9" s="10" t="str">
        <f aca="false">IF(C9="","",IF(C9='Answer Key'!B26,"✓","Try again"))</f>
        <v/>
      </c>
    </row>
    <row r="11" customFormat="false" ht="15" hidden="false" customHeight="false" outlineLevel="0" collapsed="false">
      <c r="A11" s="12" t="s">
        <v>22</v>
      </c>
      <c r="B11" s="13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33</v>
      </c>
    </row>
    <row r="2" customFormat="false" ht="15" hidden="false" customHeight="false" outlineLevel="0" collapsed="false">
      <c r="A2" s="2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7" min="6" style="0" width="18.9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5" t="s">
        <v>35</v>
      </c>
    </row>
    <row r="2" customFormat="false" ht="15" hidden="false" customHeight="false" outlineLevel="0" collapsed="false">
      <c r="A2" s="2" t="s">
        <v>36</v>
      </c>
    </row>
    <row r="4" customFormat="false" ht="33.75" hidden="false" customHeight="tru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19</v>
      </c>
      <c r="H4" s="6" t="s">
        <v>20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20.06</v>
      </c>
      <c r="D5" s="8" t="n">
        <v>19.52</v>
      </c>
      <c r="E5" s="8" t="n">
        <v>19.62</v>
      </c>
      <c r="F5" s="15" t="n">
        <f aca="false">(C5-MAX(B5,E5))/(C5-D5)</f>
        <v>0.111111111111109</v>
      </c>
      <c r="G5" s="15" t="n">
        <f aca="false">(MIN(B5,E5)-D5)/(C5-D5)</f>
        <v>0.185185185185188</v>
      </c>
      <c r="H5" s="7" t="str">
        <f aca="false">IF((C5-MAX(B5,E5))/(C5-D5)&gt;=0.5,"Rejection above",IF((MIN(B5,E5)-D5)/(C5-D5)&gt;=0.5,"Rejection below","None"))</f>
        <v>None</v>
      </c>
    </row>
    <row r="6" customFormat="false" ht="15" hidden="false" customHeight="false" outlineLevel="0" collapsed="false">
      <c r="A6" s="7" t="n">
        <v>2</v>
      </c>
      <c r="B6" s="8" t="n">
        <v>19.62</v>
      </c>
      <c r="C6" s="8" t="n">
        <v>19.68</v>
      </c>
      <c r="D6" s="8" t="n">
        <v>19.11</v>
      </c>
      <c r="E6" s="8" t="n">
        <v>19.18</v>
      </c>
      <c r="F6" s="15" t="n">
        <f aca="false">(C6-MAX(B6,E6))/(C6-D6)</f>
        <v>0.105263157894735</v>
      </c>
      <c r="G6" s="15" t="n">
        <f aca="false">(MIN(B6,E6)-D6)/(C6-D6)</f>
        <v>0.12280701754386</v>
      </c>
      <c r="H6" s="7" t="str">
        <f aca="false">IF((C6-MAX(B6,E6))/(C6-D6)&gt;=0.5,"Rejection above",IF((MIN(B6,E6)-D6)/(C6-D6)&gt;=0.5,"Rejection below","None"))</f>
        <v>None</v>
      </c>
    </row>
    <row r="7" customFormat="false" ht="26.85" hidden="false" customHeight="false" outlineLevel="0" collapsed="false">
      <c r="A7" s="7" t="n">
        <v>3</v>
      </c>
      <c r="B7" s="8" t="n">
        <v>19.14</v>
      </c>
      <c r="C7" s="8" t="n">
        <v>19.32</v>
      </c>
      <c r="D7" s="8" t="n">
        <v>18.5</v>
      </c>
      <c r="E7" s="8" t="n">
        <v>19.3</v>
      </c>
      <c r="F7" s="15" t="n">
        <f aca="false">(C7-MAX(B7,E7))/(C7-D7)</f>
        <v>0.0243902439024385</v>
      </c>
      <c r="G7" s="15" t="n">
        <f aca="false">(MIN(B7,E7)-D7)/(C7-D7)</f>
        <v>0.780487804878049</v>
      </c>
      <c r="H7" s="7" t="str">
        <f aca="false">IF((C7-MAX(B7,E7))/(C7-D7)&gt;=0.5,"Rejection above",IF((MIN(B7,E7)-D7)/(C7-D7)&gt;=0.5,"Rejection below","None"))</f>
        <v>Rejection below</v>
      </c>
    </row>
    <row r="8" customFormat="false" ht="15" hidden="false" customHeight="false" outlineLevel="0" collapsed="false">
      <c r="A8" s="7" t="n">
        <v>4</v>
      </c>
      <c r="B8" s="8" t="n">
        <v>19.3</v>
      </c>
      <c r="C8" s="8" t="n">
        <v>19.96</v>
      </c>
      <c r="D8" s="8" t="n">
        <v>19.13</v>
      </c>
      <c r="E8" s="8" t="n">
        <v>19.8</v>
      </c>
      <c r="F8" s="15" t="n">
        <f aca="false">(C8-MAX(B8,E8))/(C8-D8)</f>
        <v>0.192771084337349</v>
      </c>
      <c r="G8" s="15" t="n">
        <f aca="false">(MIN(B8,E8)-D8)/(C8-D8)</f>
        <v>0.204819277108435</v>
      </c>
      <c r="H8" s="7" t="str">
        <f aca="false">IF((C8-MAX(B8,E8))/(C8-D8)&gt;=0.5,"Rejection above",IF((MIN(B8,E8)-D8)/(C8-D8)&gt;=0.5,"Rejection below","None"))</f>
        <v>None</v>
      </c>
    </row>
    <row r="9" customFormat="false" ht="15" hidden="false" customHeight="false" outlineLevel="0" collapsed="false">
      <c r="A9" s="7" t="n">
        <v>5</v>
      </c>
      <c r="B9" s="8" t="n">
        <v>19.8</v>
      </c>
      <c r="C9" s="8" t="n">
        <v>20.46</v>
      </c>
      <c r="D9" s="8" t="n">
        <v>19.72</v>
      </c>
      <c r="E9" s="8" t="n">
        <v>20.37</v>
      </c>
      <c r="F9" s="15" t="n">
        <f aca="false">(C9-MAX(B9,E9))/(C9-D9)</f>
        <v>0.121621621621621</v>
      </c>
      <c r="G9" s="15" t="n">
        <f aca="false">(MIN(B9,E9)-D9)/(C9-D9)</f>
        <v>0.10810810810811</v>
      </c>
      <c r="H9" s="7" t="str">
        <f aca="false">IF((C9-MAX(B9,E9))/(C9-D9)&gt;=0.5,"Rejection above",IF((MIN(B9,E9)-D9)/(C9-D9)&gt;=0.5,"Rejection below","None"))</f>
        <v>None</v>
      </c>
    </row>
    <row r="10" customFormat="false" ht="26.85" hidden="false" customHeight="false" outlineLevel="0" collapsed="false">
      <c r="A10" s="7" t="n">
        <v>6</v>
      </c>
      <c r="B10" s="8" t="n">
        <v>20.41</v>
      </c>
      <c r="C10" s="8" t="n">
        <v>21.09</v>
      </c>
      <c r="D10" s="8" t="n">
        <v>20.23</v>
      </c>
      <c r="E10" s="8" t="n">
        <v>20.25</v>
      </c>
      <c r="F10" s="15" t="n">
        <f aca="false">(C10-MAX(B10,E10))/(C10-D10)</f>
        <v>0.790697674418605</v>
      </c>
      <c r="G10" s="15" t="n">
        <f aca="false">(MIN(B10,E10)-D10)/(C10-D10)</f>
        <v>0.0232558139534879</v>
      </c>
      <c r="H10" s="7" t="str">
        <f aca="false">IF((C10-MAX(B10,E10))/(C10-D10)&gt;=0.5,"Rejection above",IF((MIN(B10,E10)-D10)/(C10-D10)&gt;=0.5,"Rejection below","None"))</f>
        <v>Rejection above</v>
      </c>
    </row>
    <row r="11" customFormat="false" ht="15" hidden="false" customHeight="false" outlineLevel="0" collapsed="false">
      <c r="A11" s="7" t="n">
        <v>7</v>
      </c>
      <c r="B11" s="8" t="n">
        <v>20.25</v>
      </c>
      <c r="C11" s="8" t="n">
        <v>20.35</v>
      </c>
      <c r="D11" s="8" t="n">
        <v>19.86</v>
      </c>
      <c r="E11" s="8" t="n">
        <v>19.97</v>
      </c>
      <c r="F11" s="15" t="n">
        <f aca="false">(C11-MAX(B11,E11))/(C11-D11)</f>
        <v>0.204081632653063</v>
      </c>
      <c r="G11" s="15" t="n">
        <f aca="false">(MIN(B11,E11)-D11)/(C11-D11)</f>
        <v>0.224489795918365</v>
      </c>
      <c r="H11" s="7" t="str">
        <f aca="false">IF((C11-MAX(B11,E11))/(C11-D11)&gt;=0.5,"Rejection above",IF((MIN(B11,E11)-D11)/(C11-D11)&gt;=0.5,"Rejection below","None"))</f>
        <v>None</v>
      </c>
    </row>
    <row r="12" customFormat="false" ht="15" hidden="false" customHeight="false" outlineLevel="0" collapsed="false">
      <c r="A12" s="7" t="n">
        <v>8</v>
      </c>
      <c r="B12" s="8" t="n">
        <v>19.97</v>
      </c>
      <c r="C12" s="8" t="n">
        <v>20.59</v>
      </c>
      <c r="D12" s="8" t="n">
        <v>19.85</v>
      </c>
      <c r="E12" s="8" t="n">
        <v>20.48</v>
      </c>
      <c r="F12" s="15" t="n">
        <f aca="false">(C12-MAX(B12,E12))/(C12-D12)</f>
        <v>0.148648648648648</v>
      </c>
      <c r="G12" s="15" t="n">
        <f aca="false">(MIN(B12,E12)-D12)/(C12-D12)</f>
        <v>0.162162162162159</v>
      </c>
      <c r="H12" s="7" t="str">
        <f aca="false">IF((C12-MAX(B12,E12))/(C12-D12)&gt;=0.5,"Rejection above",IF((MIN(B12,E12)-D12)/(C12-D12)&gt;=0.5,"Rejection below","None"))</f>
        <v>None</v>
      </c>
    </row>
    <row r="13" customFormat="false" ht="26.85" hidden="false" customHeight="false" outlineLevel="0" collapsed="false">
      <c r="A13" s="7" t="n">
        <v>9</v>
      </c>
      <c r="B13" s="8" t="n">
        <v>20.48</v>
      </c>
      <c r="C13" s="8" t="n">
        <v>20.8</v>
      </c>
      <c r="D13" s="8" t="n">
        <v>20.16</v>
      </c>
      <c r="E13" s="8" t="n">
        <v>20.48</v>
      </c>
      <c r="F13" s="15" t="n">
        <f aca="false">(C13-MAX(B13,E13))/(C13-D13)</f>
        <v>0.5</v>
      </c>
      <c r="G13" s="15" t="n">
        <f aca="false">(MIN(B13,E13)-D13)/(C13-D13)</f>
        <v>0.5</v>
      </c>
      <c r="H13" s="7" t="str">
        <f aca="false">IF((C13-MAX(B13,E13))/(C13-D13)&gt;=0.5,"Rejection above",IF((MIN(B13,E13)-D13)/(C13-D13)&gt;=0.5,"Rejection below","None"))</f>
        <v>Rejection above</v>
      </c>
    </row>
    <row r="14" customFormat="false" ht="15" hidden="false" customHeight="false" outlineLevel="0" collapsed="false">
      <c r="A14" s="7" t="n">
        <v>10</v>
      </c>
      <c r="B14" s="8" t="n">
        <v>20.48</v>
      </c>
      <c r="C14" s="8" t="n">
        <v>20.77</v>
      </c>
      <c r="D14" s="8" t="n">
        <v>20.42</v>
      </c>
      <c r="E14" s="8" t="n">
        <v>20.66</v>
      </c>
      <c r="F14" s="15" t="n">
        <f aca="false">(C14-MAX(B14,E14))/(C14-D14)</f>
        <v>0.314285714285715</v>
      </c>
      <c r="G14" s="15" t="n">
        <f aca="false">(MIN(B14,E14)-D14)/(C14-D14)</f>
        <v>0.171428571428569</v>
      </c>
      <c r="H14" s="7" t="str">
        <f aca="false">IF((C14-MAX(B14,E14))/(C14-D14)&gt;=0.5,"Rejection above",IF((MIN(B14,E14)-D14)/(C14-D14)&gt;=0.5,"Rejection below","None"))</f>
        <v>None</v>
      </c>
    </row>
    <row r="15" customFormat="false" ht="26.85" hidden="false" customHeight="false" outlineLevel="0" collapsed="false">
      <c r="A15" s="7" t="n">
        <v>11</v>
      </c>
      <c r="B15" s="8" t="n">
        <v>20.62</v>
      </c>
      <c r="C15" s="8" t="n">
        <v>21.34</v>
      </c>
      <c r="D15" s="8" t="n">
        <v>20.6</v>
      </c>
      <c r="E15" s="8" t="n">
        <v>20.78</v>
      </c>
      <c r="F15" s="15" t="n">
        <f aca="false">(C15-MAX(B15,E15))/(C15-D15)</f>
        <v>0.756756756756757</v>
      </c>
      <c r="G15" s="15" t="n">
        <f aca="false">(MIN(B15,E15)-D15)/(C15-D15)</f>
        <v>0.0270270270270265</v>
      </c>
      <c r="H15" s="7" t="str">
        <f aca="false">IF((C15-MAX(B15,E15))/(C15-D15)&gt;=0.5,"Rejection above",IF((MIN(B15,E15)-D15)/(C15-D15)&gt;=0.5,"Rejection below","None"))</f>
        <v>Rejection above</v>
      </c>
    </row>
    <row r="21" customFormat="false" ht="15" hidden="false" customHeight="false" outlineLevel="0" collapsed="false">
      <c r="A21" s="13" t="s">
        <v>37</v>
      </c>
    </row>
    <row r="22" customFormat="false" ht="15" hidden="false" customHeight="false" outlineLevel="0" collapsed="false">
      <c r="A22" s="7" t="n">
        <v>1</v>
      </c>
      <c r="B22" s="7" t="s">
        <v>38</v>
      </c>
    </row>
    <row r="23" customFormat="false" ht="15" hidden="false" customHeight="false" outlineLevel="0" collapsed="false">
      <c r="A23" s="7" t="n">
        <v>2</v>
      </c>
      <c r="B23" s="7" t="s">
        <v>39</v>
      </c>
    </row>
    <row r="24" customFormat="false" ht="15" hidden="false" customHeight="false" outlineLevel="0" collapsed="false">
      <c r="A24" s="7" t="n">
        <v>3</v>
      </c>
      <c r="B24" s="7" t="s">
        <v>40</v>
      </c>
    </row>
    <row r="25" customFormat="false" ht="15" hidden="false" customHeight="false" outlineLevel="0" collapsed="false">
      <c r="A25" s="7" t="n">
        <v>4</v>
      </c>
      <c r="B25" s="7" t="s">
        <v>39</v>
      </c>
    </row>
    <row r="26" customFormat="false" ht="15" hidden="false" customHeight="false" outlineLevel="0" collapsed="false">
      <c r="A26" s="7" t="n">
        <v>5</v>
      </c>
      <c r="B26" s="7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2026-10-11T13:43:09Z</dcterms:created>
  <dc:creator>openpyxl</dc:creator>
  <dc:description/>
  <dc:language>en-US</dc:language>
  <cp:lastModifiedBy/>
  <dcterms:modified xsi:type="dcterms:W3CDTF">2026-10-11T13:43:46Z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