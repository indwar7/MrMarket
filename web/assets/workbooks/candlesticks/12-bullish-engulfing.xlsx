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Practice" sheetId="2" state="visible" r:id="rId4"/>
    <sheet name="Trade Plan" sheetId="3" state="visible" r:id="rId5"/>
    <sheet name="Quiz" sheetId="4" state="visible" r:id="rId6"/>
    <sheet name="Chart" sheetId="5" state="visible" r:id="rId7"/>
    <sheet name="Answer Ke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<sst xmlns="http://schemas.openxmlformats.org/spreadsheetml/2006/main" count="100" uniqueCount="63">
  <si>
    <t xml:space="preserve">Practice: Bullish Engulfing</t>
  </si>
  <si>
    <t xml:space="preserve">Basics of Candlesticks course · Illustrative practice data (prices in AED)</t>
  </si>
  <si>
    <t xml:space="preserve">Your task</t>
  </si>
  <si>
    <t xml:space="preserve">1. Study the daily prices and the Chart tab</t>
  </si>
  <si>
    <t xml:space="preserve">2. For each day, choose the pattern that ends on that day, or None</t>
  </si>
  <si>
    <t xml:space="preserve">3. The Check column marks each answer instantly</t>
  </si>
  <si>
    <t xml:space="preserve">4. Then plan the trade on the Trade Plan tab</t>
  </si>
  <si>
    <t xml:space="preserve">5. Then answer the five questions on the Quiz tab.</t>
  </si>
  <si>
    <t xml:space="preserve">6. Stuck? The Answer Key tab has every answer worked out.</t>
  </si>
  <si>
    <t xml:space="preserve">Legend: yellow cells = your answers. Blue numbers = given data. Check columns show ✓ or 'Try again'.</t>
  </si>
  <si>
    <t xml:space="preserve">This workbook is for education only and is not investment advice.</t>
  </si>
  <si>
    <t xml:space="preserve">Practice</t>
  </si>
  <si>
    <t xml:space="preserve">Fill in the yellow cells. Check columns update automatically.</t>
  </si>
  <si>
    <t xml:space="preserve">Day</t>
  </si>
  <si>
    <t xml:space="preserve">Open</t>
  </si>
  <si>
    <t xml:space="preserve">High</t>
  </si>
  <si>
    <t xml:space="preserve">Low</t>
  </si>
  <si>
    <t xml:space="preserve">Close</t>
  </si>
  <si>
    <t xml:space="preserve">Pattern on this day</t>
  </si>
  <si>
    <t xml:space="preserve">Check</t>
  </si>
  <si>
    <t xml:space="preserve">Two-candle patterns are marked on the second candle, the day the pattern completes.</t>
  </si>
  <si>
    <t xml:space="preserve">Score</t>
  </si>
  <si>
    <t xml:space="preserve">Trade Plan: Bullish engulfing</t>
  </si>
  <si>
    <t xml:space="preserve">Stop = 0.05 beyond the pattern's extreme. Target = 2 × risk (1:2). Fill in the yellow cells.</t>
  </si>
  <si>
    <t xml:space="preserve">Setup</t>
  </si>
  <si>
    <t xml:space="preserve">Direction</t>
  </si>
  <si>
    <t xml:space="preserve">Pattern high</t>
  </si>
  <si>
    <t xml:space="preserve">Pattern low</t>
  </si>
  <si>
    <t xml:space="preserve">Entry</t>
  </si>
  <si>
    <t xml:space="preserve">Stop-loss</t>
  </si>
  <si>
    <t xml:space="preserve">Risk per share</t>
  </si>
  <si>
    <t xml:space="preserve">Target (1:2)</t>
  </si>
  <si>
    <t xml:space="preserve">Worked example</t>
  </si>
  <si>
    <t xml:space="preserve">Long</t>
  </si>
  <si>
    <t xml:space="preserve">Practice A</t>
  </si>
  <si>
    <t xml:space="preserve">Practice B</t>
  </si>
  <si>
    <t xml:space="preserve">Short</t>
  </si>
  <si>
    <t xml:space="preserve">Practice C</t>
  </si>
  <si>
    <t xml:space="preserve">Short trades: short selling isn't available for every stock or broker. If you can't short, use bearish signals to exit or avoid long positions.</t>
  </si>
  <si>
    <t xml:space="preserve">Answers are shown further down. Try first, then check!</t>
  </si>
  <si>
    <t xml:space="preserve">Answers</t>
  </si>
  <si>
    <t xml:space="preserve">Lesson Quiz</t>
  </si>
  <si>
    <t xml:space="preserve">Choose your answers from the dropdowns. Your score updates automatically.</t>
  </si>
  <si>
    <t xml:space="preserve">#</t>
  </si>
  <si>
    <t xml:space="preserve">Question</t>
  </si>
  <si>
    <t xml:space="preserve">Your answer</t>
  </si>
  <si>
    <t xml:space="preserve">After a fall, a green candle opens below the red candle's close and closes above its open. What is it? (See the quiz chart in the video.)  A) Bearish engulfing   B) Bullish engulfing   C) Bullish harami   D) Piercing line</t>
  </si>
  <si>
    <t xml:space="preserve">A bullish engulfing has a red candle then a green candle.</t>
  </si>
  <si>
    <t xml:space="preserve">The green body must cover the whole red body.</t>
  </si>
  <si>
    <t xml:space="preserve">It works best in a sideways market.</t>
  </si>
  <si>
    <t xml:space="preserve">Higher volume on the green candle adds conviction.</t>
  </si>
  <si>
    <t xml:space="preserve">Your Data as Candles</t>
  </si>
  <si>
    <t xml:space="preserve">Green bars: close above open. Red bars: close below open. Lines show the high and low.</t>
  </si>
  <si>
    <t xml:space="preserve">Answer Key</t>
  </si>
  <si>
    <t xml:space="preserve">Worked answers for the Practice and Quiz tabs.</t>
  </si>
  <si>
    <t xml:space="preserve">None</t>
  </si>
  <si>
    <t xml:space="preserve">Bullish engulfing</t>
  </si>
  <si>
    <t xml:space="preserve">Bearish engulfing</t>
  </si>
  <si>
    <t xml:space="preserve">Pattern answers are set by the course for this illustrative data.</t>
  </si>
  <si>
    <t xml:space="preserve">Quiz answers</t>
  </si>
  <si>
    <t xml:space="preserve">B</t>
  </si>
  <si>
    <t xml:space="preserve">True</t>
  </si>
  <si>
    <t xml:space="preserve">False</t>
  </si>
</sst>
</file>

<file path=xl/styles.xml><?xml version="1.0" encoding="utf-8"?>
<styleSheet xmlns="http://schemas.openxmlformats.org/spreadsheetml/2006/main">
  <numFmts count="2">
    <numFmt numFmtId="164" formatCode="General"/>
    <numFmt numFmtId="165" formatCode="0.00"/>
  </numFmts>
  <fonts count="17">
    <font>
      <sz val="11"/>
      <color theme="1"/>
      <name val="Calibri"/>
      <family val="2"/>
      <charset val="1"/>
    </font>
    <font>
      <sz val="10"/>
      <name val="Arial"/>
      <family val="0"/>
    </font>
    <font>
      <sz val="10"/>
      <name val="Arial"/>
      <family val="0"/>
    </font>
    <font>
      <sz val="10"/>
      <name val="Arial"/>
      <family val="0"/>
    </font>
    <font>
      <b val="true"/>
      <sz val="16"/>
      <color rgb="FF16215C"/>
      <name val="Arial"/>
      <family val="0"/>
      <charset val="1"/>
    </font>
    <font>
      <i val="true"/>
      <sz val="10"/>
      <color rgb="FF595959"/>
      <name val="Arial"/>
      <family val="0"/>
      <charset val="1"/>
    </font>
    <font>
      <sz val="11"/>
      <name val="Arial"/>
      <family val="0"/>
      <charset val="1"/>
    </font>
    <font>
      <b val="true"/>
      <sz val="12"/>
      <color rgb="FFFF4D8D"/>
      <name val="Arial"/>
      <family val="0"/>
      <charset val="1"/>
    </font>
    <font>
      <b val="true"/>
      <sz val="14"/>
      <color rgb="FF16215C"/>
      <name val="Arial"/>
      <family val="0"/>
      <charset val="1"/>
    </font>
    <font>
      <b val="true"/>
      <sz val="11"/>
      <color rgb="FFFFFFFF"/>
      <name val="Arial"/>
      <family val="0"/>
      <charset val="1"/>
    </font>
    <font>
      <sz val="11"/>
      <color rgb="FF0000FF"/>
      <name val="Arial"/>
      <family val="0"/>
      <charset val="1"/>
    </font>
    <font>
      <b val="true"/>
      <sz val="11"/>
      <color rgb="FF26A69A"/>
      <name val="Arial"/>
      <family val="0"/>
      <charset val="1"/>
    </font>
    <font>
      <b val="true"/>
      <sz val="11"/>
      <name val="Arial"/>
      <family val="0"/>
      <charset val="1"/>
    </font>
    <font>
      <b val="true"/>
      <sz val="11"/>
      <color rgb="FFFF4D8D"/>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6215C"/>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CCFFFF"/>
      <rgbColor rgb="FF660066"/>
      <rgbColor rgb="FFFF4D8D"/>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F5350"/>
      <rgbColor rgb="FF595959"/>
      <rgbColor rgb="FF969696"/>
      <rgbColor rgb="FF16215C"/>
      <rgbColor rgb="FF26A69A"/>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Practice Stock: Daily Candles (illustrative)</a:t>
            </a:r>
          </a:p>
        </c:rich>
      </c:tx>
      <c:overlay val="0"/>
      <c:spPr>
        <a:noFill/>
        <a:ln w="0">
          <a:noFill/>
        </a:ln>
      </c:spPr>
    </c:title>
    <c:autoTitleDeleted val="0"/>
    <c:plotArea>
      <c:stockChart>
        <c:ser>
          <c:idx val="1"/>
          <c:order val="1"/>
          <c:tx>
            <c:strRef>
              <c:f>Practice!B4</c:f>
              <c:strCache>
                <c:ptCount val="1"/>
                <c:pt idx="0">
                  <c:v>Open</c:v>
                </c:pt>
              </c:strCache>
            </c:strRef>
          </c:tx>
          <c:cat>
            <c:strRef>
              <c:f>Practice!$A$5:$A$20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Practice!$B$5:$B$20</c:f>
              <c:numCache>
                <c:formatCode>0.00</c:formatCode>
                <c:ptCount val="16"/>
                <c:pt idx="0">
                  <c:v>20</c:v>
                </c:pt>
                <c:pt idx="1">
                  <c:v>19.62</c:v>
                </c:pt>
                <c:pt idx="2">
                  <c:v>19.18</c:v>
                </c:pt>
                <c:pt idx="3">
                  <c:v>18.65</c:v>
                </c:pt>
                <c:pt idx="4">
                  <c:v>18.35</c:v>
                </c:pt>
                <c:pt idx="5">
                  <c:v>18.83</c:v>
                </c:pt>
                <c:pt idx="6">
                  <c:v>19.26</c:v>
                </c:pt>
                <c:pt idx="7">
                  <c:v>19.84</c:v>
                </c:pt>
                <c:pt idx="8">
                  <c:v>20.09</c:v>
                </c:pt>
                <c:pt idx="9">
                  <c:v>20.39</c:v>
                </c:pt>
                <c:pt idx="10">
                  <c:v>19.91</c:v>
                </c:pt>
                <c:pt idx="11">
                  <c:v>19.39</c:v>
                </c:pt>
                <c:pt idx="12">
                  <c:v>19.01</c:v>
                </c:pt>
                <c:pt idx="13">
                  <c:v>18.71</c:v>
                </c:pt>
                <c:pt idx="14">
                  <c:v>19.19</c:v>
                </c:pt>
                <c:pt idx="15">
                  <c:v>19.76</c:v>
                </c:pt>
              </c:numCache>
            </c:numRef>
          </c:val>
        </c:ser>
        <c:ser>
          <c:idx val="2"/>
          <c:order val="2"/>
          <c:tx>
            <c:strRef>
              <c:f>Practice!C4</c:f>
              <c:strCache>
                <c:ptCount val="1"/>
                <c:pt idx="0">
                  <c:v>High</c:v>
                </c:pt>
              </c:strCache>
            </c:strRef>
          </c:tx>
          <c:cat>
            <c:strRef>
              <c:f>Practice!$A$5:$A$20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Practice!$C$5:$C$20</c:f>
              <c:numCache>
                <c:formatCode>0.00</c:formatCode>
                <c:ptCount val="16"/>
                <c:pt idx="0">
                  <c:v>20.06</c:v>
                </c:pt>
                <c:pt idx="1">
                  <c:v>19.68</c:v>
                </c:pt>
                <c:pt idx="2">
                  <c:v>19.3</c:v>
                </c:pt>
                <c:pt idx="3">
                  <c:v>18.71</c:v>
                </c:pt>
                <c:pt idx="4">
                  <c:v>18.89</c:v>
                </c:pt>
                <c:pt idx="5">
                  <c:v>19.34</c:v>
                </c:pt>
                <c:pt idx="6">
                  <c:v>19.96</c:v>
                </c:pt>
                <c:pt idx="7">
                  <c:v>20.18</c:v>
                </c:pt>
                <c:pt idx="8">
                  <c:v>20.39</c:v>
                </c:pt>
                <c:pt idx="9">
                  <c:v>20.45</c:v>
                </c:pt>
                <c:pt idx="10">
                  <c:v>19.99</c:v>
                </c:pt>
                <c:pt idx="11">
                  <c:v>19.46</c:v>
                </c:pt>
                <c:pt idx="12">
                  <c:v>19.07</c:v>
                </c:pt>
                <c:pt idx="13">
                  <c:v>19.25</c:v>
                </c:pt>
                <c:pt idx="14">
                  <c:v>19.87</c:v>
                </c:pt>
                <c:pt idx="15">
                  <c:v>20.39</c:v>
                </c:pt>
              </c:numCache>
            </c:numRef>
          </c:val>
        </c:ser>
        <c:ser>
          <c:idx val="3"/>
          <c:order val="3"/>
          <c:tx>
            <c:strRef>
              <c:f>Practice!D4</c:f>
              <c:strCache>
                <c:ptCount val="1"/>
                <c:pt idx="0">
                  <c:v>Low</c:v>
                </c:pt>
              </c:strCache>
            </c:strRef>
          </c:tx>
          <c:cat>
            <c:strRef>
              <c:f>Practice!$A$5:$A$20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Practice!$D$5:$D$20</c:f>
              <c:numCache>
                <c:formatCode>0.00</c:formatCode>
                <c:ptCount val="16"/>
                <c:pt idx="0">
                  <c:v>19.52</c:v>
                </c:pt>
                <c:pt idx="1">
                  <c:v>19.11</c:v>
                </c:pt>
                <c:pt idx="2">
                  <c:v>18.49</c:v>
                </c:pt>
                <c:pt idx="3">
                  <c:v>18.35</c:v>
                </c:pt>
                <c:pt idx="4">
                  <c:v>18.29</c:v>
                </c:pt>
                <c:pt idx="5">
                  <c:v>18.72</c:v>
                </c:pt>
                <c:pt idx="6">
                  <c:v>19.13</c:v>
                </c:pt>
                <c:pt idx="7">
                  <c:v>19.74</c:v>
                </c:pt>
                <c:pt idx="8">
                  <c:v>20.03</c:v>
                </c:pt>
                <c:pt idx="9">
                  <c:v>19.85</c:v>
                </c:pt>
                <c:pt idx="10">
                  <c:v>19.22</c:v>
                </c:pt>
                <c:pt idx="11">
                  <c:v>18.83</c:v>
                </c:pt>
                <c:pt idx="12">
                  <c:v>18.71</c:v>
                </c:pt>
                <c:pt idx="13">
                  <c:v>18.65</c:v>
                </c:pt>
                <c:pt idx="14">
                  <c:v>19.05</c:v>
                </c:pt>
                <c:pt idx="15">
                  <c:v>19.58</c:v>
                </c:pt>
              </c:numCache>
            </c:numRef>
          </c:val>
        </c:ser>
        <c:ser>
          <c:idx val="4"/>
          <c:order val="4"/>
          <c:tx>
            <c:strRef>
              <c:f>Practice!E4</c:f>
              <c:strCache>
                <c:ptCount val="1"/>
                <c:pt idx="0">
                  <c:v>Close</c:v>
                </c:pt>
              </c:strCache>
            </c:strRef>
          </c:tx>
          <c:cat>
            <c:strRef>
              <c:f>Practice!$A$5:$A$20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Practice!$E$5:$E$20</c:f>
              <c:numCache>
                <c:formatCode>0.00</c:formatCode>
                <c:ptCount val="16"/>
                <c:pt idx="0">
                  <c:v>19.62</c:v>
                </c:pt>
                <c:pt idx="1">
                  <c:v>19.18</c:v>
                </c:pt>
                <c:pt idx="2">
                  <c:v>18.65</c:v>
                </c:pt>
                <c:pt idx="3">
                  <c:v>18.41</c:v>
                </c:pt>
                <c:pt idx="4">
                  <c:v>18.83</c:v>
                </c:pt>
                <c:pt idx="5">
                  <c:v>19.26</c:v>
                </c:pt>
                <c:pt idx="6">
                  <c:v>19.84</c:v>
                </c:pt>
                <c:pt idx="7">
                  <c:v>20.09</c:v>
                </c:pt>
                <c:pt idx="8">
                  <c:v>20.33</c:v>
                </c:pt>
                <c:pt idx="9">
                  <c:v>19.91</c:v>
                </c:pt>
                <c:pt idx="10">
                  <c:v>19.39</c:v>
                </c:pt>
                <c:pt idx="11">
                  <c:v>19.01</c:v>
                </c:pt>
                <c:pt idx="12">
                  <c:v>18.77</c:v>
                </c:pt>
                <c:pt idx="13">
                  <c:v>19.19</c:v>
                </c:pt>
                <c:pt idx="14">
                  <c:v>19.76</c:v>
                </c:pt>
                <c:pt idx="15">
                  <c:v>20.29</c:v>
                </c:pt>
              </c:numCache>
            </c:numRef>
          </c:val>
        </c:ser>
        <c:hiLowLines>
          <c:spPr>
            <a:solidFill>
              <a:srgbClr val="16215c"/>
            </a:solidFill>
            <a:ln w="9360">
              <a:solidFill>
                <a:srgbClr val="16215c"/>
              </a:solidFill>
              <a:bevel/>
            </a:ln>
          </c:spPr>
        </c:hiLowLines>
        <c:upDownBars>
          <c:gapWidth val="150"/>
          <c:upBars>
            <c:spPr>
              <a:solidFill>
                <a:srgbClr val="26a69a"/>
              </a:solidFill>
              <a:ln w="9360">
                <a:solidFill>
                  <a:srgbClr val="000000"/>
                </a:solidFill>
                <a:round/>
              </a:ln>
            </c:spPr>
          </c:upBars>
          <c:downBars>
            <c:spPr>
              <a:solidFill>
                <a:srgbClr val="ef5350"/>
              </a:solidFill>
              <a:ln w="9360">
                <a:solidFill>
                  <a:srgbClr val="000000"/>
                </a:solidFill>
                <a:round/>
              </a:ln>
            </c:spPr>
          </c:downBars>
        </c:upDownBars>
        <c:axId val="89971086"/>
        <c:axId val="49507397"/>
      </c:stockChart>
      <c:catAx>
        <c:axId val="8997108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Day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507397"/>
        <c:crosses val="autoZero"/>
        <c:auto val="1"/>
        <c:lblAlgn val="ctr"/>
        <c:lblOffset val="100"/>
        <c:noMultiLvlLbl val="0"/>
      </c:catAx>
      <c:valAx>
        <c:axId val="4950739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Price (AED)</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97108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15</xdr:col>
      <xdr:colOff>187200</xdr:colOff>
      <xdr:row>27</xdr:row>
      <xdr:rowOff>78120</xdr:rowOff>
    </xdr:to>
    <xdr:graphicFrame>
      <xdr:nvGraphicFramePr>
        <xdr:cNvPr id="0" name="Chart 1"/>
        <xdr:cNvGraphicFramePr/>
      </xdr:nvGraphicFramePr>
      <xdr:xfrm>
        <a:off x="0" y="571680"/>
        <a:ext cx="935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t="s">
        <v>8</v>
      </c>
    </row>
    <row r="11" customFormat="false" ht="15" hidden="false" customHeight="false" outlineLevel="0" collapsed="false">
      <c r="A11" s="3"/>
    </row>
    <row r="12" customFormat="false" ht="15" hidden="false" customHeight="false" outlineLevel="0" collapsed="false">
      <c r="A12" s="2" t="s">
        <v>9</v>
      </c>
    </row>
    <row r="13" customFormat="false" ht="15" hidden="false" customHeight="false" outlineLevel="0" collapsed="false">
      <c r="A13"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7.1"/>
    <col collapsed="false" customWidth="true" hidden="false" outlineLevel="0" max="7" min="7" style="0" width="11"/>
  </cols>
  <sheetData>
    <row r="1" customFormat="false" ht="17.35" hidden="false" customHeight="false" outlineLevel="0" collapsed="false">
      <c r="A1" s="5" t="s">
        <v>11</v>
      </c>
    </row>
    <row r="2" customFormat="false" ht="15" hidden="false" customHeight="false" outlineLevel="0" collapsed="false">
      <c r="A2" s="2" t="s">
        <v>12</v>
      </c>
    </row>
    <row r="4" customFormat="false" ht="33.75" hidden="false" customHeight="true" outlineLevel="0" collapsed="false">
      <c r="A4" s="6" t="s">
        <v>13</v>
      </c>
      <c r="B4" s="6" t="s">
        <v>14</v>
      </c>
      <c r="C4" s="6" t="s">
        <v>15</v>
      </c>
      <c r="D4" s="6" t="s">
        <v>16</v>
      </c>
      <c r="E4" s="6" t="s">
        <v>17</v>
      </c>
      <c r="F4" s="6" t="s">
        <v>18</v>
      </c>
      <c r="G4" s="6" t="s">
        <v>19</v>
      </c>
    </row>
    <row r="5" customFormat="false" ht="15" hidden="false" customHeight="false" outlineLevel="0" collapsed="false">
      <c r="A5" s="7" t="n">
        <v>1</v>
      </c>
      <c r="B5" s="8" t="n">
        <v>20</v>
      </c>
      <c r="C5" s="8" t="n">
        <v>20.06</v>
      </c>
      <c r="D5" s="8" t="n">
        <v>19.52</v>
      </c>
      <c r="E5" s="8" t="n">
        <v>19.62</v>
      </c>
      <c r="F5" s="9"/>
      <c r="G5" s="10" t="str">
        <f aca="false">IF(F5="","",IF(F5='Answer Key'!F5,"✓","Try again"))</f>
        <v/>
      </c>
    </row>
    <row r="6" customFormat="false" ht="15" hidden="false" customHeight="false" outlineLevel="0" collapsed="false">
      <c r="A6" s="7" t="n">
        <v>2</v>
      </c>
      <c r="B6" s="8" t="n">
        <v>19.62</v>
      </c>
      <c r="C6" s="8" t="n">
        <v>19.68</v>
      </c>
      <c r="D6" s="8" t="n">
        <v>19.11</v>
      </c>
      <c r="E6" s="8" t="n">
        <v>19.18</v>
      </c>
      <c r="F6" s="9"/>
      <c r="G6" s="10" t="str">
        <f aca="false">IF(F6="","",IF(F6='Answer Key'!F6,"✓","Try again"))</f>
        <v/>
      </c>
    </row>
    <row r="7" customFormat="false" ht="15" hidden="false" customHeight="false" outlineLevel="0" collapsed="false">
      <c r="A7" s="7" t="n">
        <v>3</v>
      </c>
      <c r="B7" s="8" t="n">
        <v>19.18</v>
      </c>
      <c r="C7" s="8" t="n">
        <v>19.3</v>
      </c>
      <c r="D7" s="8" t="n">
        <v>18.49</v>
      </c>
      <c r="E7" s="8" t="n">
        <v>18.65</v>
      </c>
      <c r="F7" s="9"/>
      <c r="G7" s="10" t="str">
        <f aca="false">IF(F7="","",IF(F7='Answer Key'!F7,"✓","Try again"))</f>
        <v/>
      </c>
    </row>
    <row r="8" customFormat="false" ht="15" hidden="false" customHeight="false" outlineLevel="0" collapsed="false">
      <c r="A8" s="7" t="n">
        <v>4</v>
      </c>
      <c r="B8" s="8" t="n">
        <v>18.65</v>
      </c>
      <c r="C8" s="8" t="n">
        <v>18.71</v>
      </c>
      <c r="D8" s="8" t="n">
        <v>18.35</v>
      </c>
      <c r="E8" s="8" t="n">
        <v>18.41</v>
      </c>
      <c r="F8" s="9"/>
      <c r="G8" s="10" t="str">
        <f aca="false">IF(F8="","",IF(F8='Answer Key'!F8,"✓","Try again"))</f>
        <v/>
      </c>
    </row>
    <row r="9" customFormat="false" ht="15" hidden="false" customHeight="false" outlineLevel="0" collapsed="false">
      <c r="A9" s="7" t="n">
        <v>5</v>
      </c>
      <c r="B9" s="8" t="n">
        <v>18.35</v>
      </c>
      <c r="C9" s="8" t="n">
        <v>18.89</v>
      </c>
      <c r="D9" s="8" t="n">
        <v>18.29</v>
      </c>
      <c r="E9" s="8" t="n">
        <v>18.83</v>
      </c>
      <c r="F9" s="9"/>
      <c r="G9" s="10" t="str">
        <f aca="false">IF(F9="","",IF(F9='Answer Key'!F9,"✓","Try again"))</f>
        <v/>
      </c>
    </row>
    <row r="10" customFormat="false" ht="15" hidden="false" customHeight="false" outlineLevel="0" collapsed="false">
      <c r="A10" s="7" t="n">
        <v>6</v>
      </c>
      <c r="B10" s="8" t="n">
        <v>18.83</v>
      </c>
      <c r="C10" s="8" t="n">
        <v>19.34</v>
      </c>
      <c r="D10" s="8" t="n">
        <v>18.72</v>
      </c>
      <c r="E10" s="8" t="n">
        <v>19.26</v>
      </c>
      <c r="F10" s="9"/>
      <c r="G10" s="10" t="str">
        <f aca="false">IF(F10="","",IF(F10='Answer Key'!F10,"✓","Try again"))</f>
        <v/>
      </c>
    </row>
    <row r="11" customFormat="false" ht="15" hidden="false" customHeight="false" outlineLevel="0" collapsed="false">
      <c r="A11" s="7" t="n">
        <v>7</v>
      </c>
      <c r="B11" s="8" t="n">
        <v>19.26</v>
      </c>
      <c r="C11" s="8" t="n">
        <v>19.96</v>
      </c>
      <c r="D11" s="8" t="n">
        <v>19.13</v>
      </c>
      <c r="E11" s="8" t="n">
        <v>19.84</v>
      </c>
      <c r="F11" s="9"/>
      <c r="G11" s="10" t="str">
        <f aca="false">IF(F11="","",IF(F11='Answer Key'!F11,"✓","Try again"))</f>
        <v/>
      </c>
    </row>
    <row r="12" customFormat="false" ht="15" hidden="false" customHeight="false" outlineLevel="0" collapsed="false">
      <c r="A12" s="7" t="n">
        <v>8</v>
      </c>
      <c r="B12" s="8" t="n">
        <v>19.84</v>
      </c>
      <c r="C12" s="8" t="n">
        <v>20.18</v>
      </c>
      <c r="D12" s="8" t="n">
        <v>19.74</v>
      </c>
      <c r="E12" s="8" t="n">
        <v>20.09</v>
      </c>
      <c r="F12" s="9"/>
      <c r="G12" s="10" t="str">
        <f aca="false">IF(F12="","",IF(F12='Answer Key'!F12,"✓","Try again"))</f>
        <v/>
      </c>
    </row>
    <row r="13" customFormat="false" ht="15" hidden="false" customHeight="false" outlineLevel="0" collapsed="false">
      <c r="A13" s="7" t="n">
        <v>9</v>
      </c>
      <c r="B13" s="8" t="n">
        <v>20.09</v>
      </c>
      <c r="C13" s="8" t="n">
        <v>20.39</v>
      </c>
      <c r="D13" s="8" t="n">
        <v>20.03</v>
      </c>
      <c r="E13" s="8" t="n">
        <v>20.33</v>
      </c>
      <c r="F13" s="9"/>
      <c r="G13" s="10" t="str">
        <f aca="false">IF(F13="","",IF(F13='Answer Key'!F13,"✓","Try again"))</f>
        <v/>
      </c>
    </row>
    <row r="14" customFormat="false" ht="15" hidden="false" customHeight="false" outlineLevel="0" collapsed="false">
      <c r="A14" s="7" t="n">
        <v>10</v>
      </c>
      <c r="B14" s="8" t="n">
        <v>20.39</v>
      </c>
      <c r="C14" s="8" t="n">
        <v>20.45</v>
      </c>
      <c r="D14" s="8" t="n">
        <v>19.85</v>
      </c>
      <c r="E14" s="8" t="n">
        <v>19.91</v>
      </c>
      <c r="F14" s="9"/>
      <c r="G14" s="10" t="str">
        <f aca="false">IF(F14="","",IF(F14='Answer Key'!F14,"✓","Try again"))</f>
        <v/>
      </c>
    </row>
    <row r="15" customFormat="false" ht="15" hidden="false" customHeight="false" outlineLevel="0" collapsed="false">
      <c r="A15" s="7" t="n">
        <v>11</v>
      </c>
      <c r="B15" s="8" t="n">
        <v>19.91</v>
      </c>
      <c r="C15" s="8" t="n">
        <v>19.99</v>
      </c>
      <c r="D15" s="8" t="n">
        <v>19.22</v>
      </c>
      <c r="E15" s="8" t="n">
        <v>19.39</v>
      </c>
      <c r="F15" s="9"/>
      <c r="G15" s="10" t="str">
        <f aca="false">IF(F15="","",IF(F15='Answer Key'!F15,"✓","Try again"))</f>
        <v/>
      </c>
    </row>
    <row r="16" customFormat="false" ht="15" hidden="false" customHeight="false" outlineLevel="0" collapsed="false">
      <c r="A16" s="7" t="n">
        <v>12</v>
      </c>
      <c r="B16" s="8" t="n">
        <v>19.39</v>
      </c>
      <c r="C16" s="8" t="n">
        <v>19.46</v>
      </c>
      <c r="D16" s="8" t="n">
        <v>18.83</v>
      </c>
      <c r="E16" s="8" t="n">
        <v>19.01</v>
      </c>
      <c r="F16" s="9"/>
      <c r="G16" s="10" t="str">
        <f aca="false">IF(F16="","",IF(F16='Answer Key'!F16,"✓","Try again"))</f>
        <v/>
      </c>
    </row>
    <row r="17" customFormat="false" ht="15" hidden="false" customHeight="false" outlineLevel="0" collapsed="false">
      <c r="A17" s="7" t="n">
        <v>13</v>
      </c>
      <c r="B17" s="8" t="n">
        <v>19.01</v>
      </c>
      <c r="C17" s="8" t="n">
        <v>19.07</v>
      </c>
      <c r="D17" s="8" t="n">
        <v>18.71</v>
      </c>
      <c r="E17" s="8" t="n">
        <v>18.77</v>
      </c>
      <c r="F17" s="9"/>
      <c r="G17" s="10" t="str">
        <f aca="false">IF(F17="","",IF(F17='Answer Key'!F17,"✓","Try again"))</f>
        <v/>
      </c>
    </row>
    <row r="18" customFormat="false" ht="15" hidden="false" customHeight="false" outlineLevel="0" collapsed="false">
      <c r="A18" s="7" t="n">
        <v>14</v>
      </c>
      <c r="B18" s="8" t="n">
        <v>18.71</v>
      </c>
      <c r="C18" s="8" t="n">
        <v>19.25</v>
      </c>
      <c r="D18" s="8" t="n">
        <v>18.65</v>
      </c>
      <c r="E18" s="8" t="n">
        <v>19.19</v>
      </c>
      <c r="F18" s="9"/>
      <c r="G18" s="10" t="str">
        <f aca="false">IF(F18="","",IF(F18='Answer Key'!F18,"✓","Try again"))</f>
        <v/>
      </c>
    </row>
    <row r="19" customFormat="false" ht="15" hidden="false" customHeight="false" outlineLevel="0" collapsed="false">
      <c r="A19" s="7" t="n">
        <v>15</v>
      </c>
      <c r="B19" s="8" t="n">
        <v>19.19</v>
      </c>
      <c r="C19" s="8" t="n">
        <v>19.87</v>
      </c>
      <c r="D19" s="8" t="n">
        <v>19.05</v>
      </c>
      <c r="E19" s="8" t="n">
        <v>19.76</v>
      </c>
      <c r="F19" s="9"/>
      <c r="G19" s="10" t="str">
        <f aca="false">IF(F19="","",IF(F19='Answer Key'!F19,"✓","Try again"))</f>
        <v/>
      </c>
    </row>
    <row r="20" customFormat="false" ht="15" hidden="false" customHeight="false" outlineLevel="0" collapsed="false">
      <c r="A20" s="7" t="n">
        <v>16</v>
      </c>
      <c r="B20" s="8" t="n">
        <v>19.76</v>
      </c>
      <c r="C20" s="8" t="n">
        <v>20.39</v>
      </c>
      <c r="D20" s="8" t="n">
        <v>19.58</v>
      </c>
      <c r="E20" s="8" t="n">
        <v>20.29</v>
      </c>
      <c r="F20" s="9"/>
      <c r="G20" s="10" t="str">
        <f aca="false">IF(F20="","",IF(F20='Answer Key'!F20,"✓","Try again"))</f>
        <v/>
      </c>
    </row>
    <row r="24" customFormat="false" ht="15" hidden="false" customHeight="false" outlineLevel="0" collapsed="false">
      <c r="A24" s="2" t="s">
        <v>20</v>
      </c>
    </row>
    <row r="26" customFormat="false" ht="15" hidden="false" customHeight="false" outlineLevel="0" collapsed="false">
      <c r="A26" s="11" t="s">
        <v>21</v>
      </c>
      <c r="B26" s="12" t="str">
        <f aca="false">(COUNTIF(G5:G20,"✓"))&amp;" / 16 correct"</f>
        <v>0 / 16 correct</v>
      </c>
    </row>
  </sheetData>
  <dataValidations count="1">
    <dataValidation allowBlank="true" errorStyle="stop" operator="between" showDropDown="false" showErrorMessage="false" showInputMessage="false" sqref="F5:F20" type="list">
      <formula1>"Bullish engulfing,Bearish engulfing,None"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1"/>
    <col collapsed="false" customWidth="true" hidden="false" outlineLevel="0" max="4" min="3" style="0" width="13"/>
    <col collapsed="false" customWidth="true" hidden="false" outlineLevel="0" max="5" min="5" style="0" width="10"/>
    <col collapsed="false" customWidth="true" hidden="false" outlineLevel="0" max="6" min="6" style="0" width="11"/>
    <col collapsed="false" customWidth="true" hidden="false" outlineLevel="0" max="7" min="7" style="0" width="10"/>
    <col collapsed="false" customWidth="true" hidden="false" outlineLevel="0" max="8" min="8" style="0" width="14"/>
    <col collapsed="false" customWidth="true" hidden="false" outlineLevel="0" max="9" min="9" style="0" width="10"/>
    <col collapsed="false" customWidth="true" hidden="false" outlineLevel="0" max="10" min="10" style="0" width="13"/>
    <col collapsed="false" customWidth="true" hidden="false" outlineLevel="0" max="11" min="11" style="0" width="10"/>
  </cols>
  <sheetData>
    <row r="1" customFormat="false" ht="17.35" hidden="false" customHeight="false" outlineLevel="0" collapsed="false">
      <c r="A1" s="5" t="s">
        <v>22</v>
      </c>
    </row>
    <row r="2" customFormat="false" ht="15" hidden="false" customHeight="false" outlineLevel="0" collapsed="false">
      <c r="A2" s="2" t="s">
        <v>23</v>
      </c>
    </row>
    <row r="4" customFormat="false" ht="33.75" hidden="false" customHeight="true" outlineLevel="0" collapsed="false">
      <c r="A4" s="6" t="s">
        <v>24</v>
      </c>
      <c r="B4" s="6" t="s">
        <v>25</v>
      </c>
      <c r="C4" s="6" t="s">
        <v>26</v>
      </c>
      <c r="D4" s="6" t="s">
        <v>27</v>
      </c>
      <c r="E4" s="6" t="s">
        <v>28</v>
      </c>
      <c r="F4" s="6" t="s">
        <v>29</v>
      </c>
      <c r="G4" s="6" t="s">
        <v>19</v>
      </c>
      <c r="H4" s="6" t="s">
        <v>30</v>
      </c>
      <c r="I4" s="6" t="s">
        <v>19</v>
      </c>
      <c r="J4" s="6" t="s">
        <v>31</v>
      </c>
      <c r="K4" s="6" t="s">
        <v>19</v>
      </c>
    </row>
    <row r="5" customFormat="false" ht="15" hidden="false" customHeight="false" outlineLevel="0" collapsed="false">
      <c r="A5" s="7" t="s">
        <v>32</v>
      </c>
      <c r="B5" s="7" t="s">
        <v>33</v>
      </c>
      <c r="C5" s="8" t="n">
        <v>18.01</v>
      </c>
      <c r="D5" s="8" t="n">
        <v>17.41</v>
      </c>
      <c r="E5" s="8" t="n">
        <v>18.37</v>
      </c>
      <c r="F5" s="13"/>
      <c r="G5" s="10" t="str">
        <f aca="false">IF(F5="","",IF(ROUND(F5,2)=ROUND(B21,2),"✓","Try again"))</f>
        <v/>
      </c>
      <c r="H5" s="13"/>
      <c r="I5" s="10" t="str">
        <f aca="false">IF(H5="","",IF(ROUND(H5,2)=ROUND(C21,2),"✓","Try again"))</f>
        <v/>
      </c>
      <c r="J5" s="13"/>
      <c r="K5" s="10" t="str">
        <f aca="false">IF(J5="","",IF(ROUND(J5,2)=ROUND(D21,2),"✓","Try again"))</f>
        <v/>
      </c>
    </row>
    <row r="6" customFormat="false" ht="15" hidden="false" customHeight="false" outlineLevel="0" collapsed="false">
      <c r="A6" s="7" t="s">
        <v>34</v>
      </c>
      <c r="B6" s="7" t="s">
        <v>33</v>
      </c>
      <c r="C6" s="8" t="n">
        <v>20.4</v>
      </c>
      <c r="D6" s="8" t="n">
        <v>19.8</v>
      </c>
      <c r="E6" s="8" t="n">
        <v>20.55</v>
      </c>
      <c r="F6" s="13"/>
      <c r="G6" s="10" t="str">
        <f aca="false">IF(F6="","",IF(ROUND(F6,2)=ROUND(B22,2),"✓","Try again"))</f>
        <v/>
      </c>
      <c r="H6" s="13"/>
      <c r="I6" s="10" t="str">
        <f aca="false">IF(H6="","",IF(ROUND(H6,2)=ROUND(C22,2),"✓","Try again"))</f>
        <v/>
      </c>
      <c r="J6" s="13"/>
      <c r="K6" s="10" t="str">
        <f aca="false">IF(J6="","",IF(ROUND(J6,2)=ROUND(D22,2),"✓","Try again"))</f>
        <v/>
      </c>
    </row>
    <row r="7" customFormat="false" ht="15" hidden="false" customHeight="false" outlineLevel="0" collapsed="false">
      <c r="A7" s="7" t="s">
        <v>35</v>
      </c>
      <c r="B7" s="7" t="s">
        <v>36</v>
      </c>
      <c r="C7" s="8" t="n">
        <v>21.2</v>
      </c>
      <c r="D7" s="8" t="n">
        <v>20.6</v>
      </c>
      <c r="E7" s="8" t="n">
        <v>20.45</v>
      </c>
      <c r="F7" s="13"/>
      <c r="G7" s="10" t="str">
        <f aca="false">IF(F7="","",IF(ROUND(F7,2)=ROUND(B23,2),"✓","Try again"))</f>
        <v/>
      </c>
      <c r="H7" s="13"/>
      <c r="I7" s="10" t="str">
        <f aca="false">IF(H7="","",IF(ROUND(H7,2)=ROUND(C23,2),"✓","Try again"))</f>
        <v/>
      </c>
      <c r="J7" s="13"/>
      <c r="K7" s="10" t="str">
        <f aca="false">IF(J7="","",IF(ROUND(J7,2)=ROUND(D23,2),"✓","Try again"))</f>
        <v/>
      </c>
    </row>
    <row r="8" customFormat="false" ht="15" hidden="false" customHeight="false" outlineLevel="0" collapsed="false">
      <c r="A8" s="7" t="s">
        <v>37</v>
      </c>
      <c r="B8" s="7" t="s">
        <v>33</v>
      </c>
      <c r="C8" s="8" t="n">
        <v>8.36</v>
      </c>
      <c r="D8" s="8" t="n">
        <v>8.02</v>
      </c>
      <c r="E8" s="8" t="n">
        <v>8.42</v>
      </c>
      <c r="F8" s="13"/>
      <c r="G8" s="10" t="str">
        <f aca="false">IF(F8="","",IF(ROUND(F8,2)=ROUND(B24,2),"✓","Try again"))</f>
        <v/>
      </c>
      <c r="H8" s="13"/>
      <c r="I8" s="10" t="str">
        <f aca="false">IF(H8="","",IF(ROUND(H8,2)=ROUND(C24,2),"✓","Try again"))</f>
        <v/>
      </c>
      <c r="J8" s="13"/>
      <c r="K8" s="10" t="str">
        <f aca="false">IF(J8="","",IF(ROUND(J8,2)=ROUND(D24,2),"✓","Try again"))</f>
        <v/>
      </c>
    </row>
    <row r="10" customFormat="false" ht="15" hidden="false" customHeight="false" outlineLevel="0" collapsed="false">
      <c r="A10" s="11" t="s">
        <v>21</v>
      </c>
      <c r="B10" s="12" t="str">
        <f aca="false">(COUNTIF(G5:G8,"✓")+COUNTIF(I5:I8,"✓")+COUNTIF(K5:K8,"✓"))&amp;" / 12 correct"</f>
        <v>0 / 12 correct</v>
      </c>
    </row>
    <row r="12" customFormat="false" ht="15" hidden="false" customHeight="false" outlineLevel="0" collapsed="false">
      <c r="A12" s="2" t="s">
        <v>38</v>
      </c>
    </row>
    <row r="13" customFormat="false" ht="15" hidden="false" customHeight="false" outlineLevel="0" collapsed="false">
      <c r="A13" s="2" t="s">
        <v>39</v>
      </c>
    </row>
    <row r="19" customFormat="false" ht="15" hidden="false" customHeight="false" outlineLevel="0" collapsed="false">
      <c r="A19" s="12" t="s">
        <v>40</v>
      </c>
    </row>
    <row r="20" customFormat="false" ht="33.75" hidden="false" customHeight="true" outlineLevel="0" collapsed="false">
      <c r="A20" s="6" t="s">
        <v>24</v>
      </c>
      <c r="B20" s="6" t="s">
        <v>29</v>
      </c>
      <c r="C20" s="6" t="s">
        <v>30</v>
      </c>
      <c r="D20" s="6" t="s">
        <v>31</v>
      </c>
    </row>
    <row r="21" customFormat="false" ht="15" hidden="false" customHeight="false" outlineLevel="0" collapsed="false">
      <c r="A21" s="7" t="s">
        <v>32</v>
      </c>
      <c r="B21" s="14" t="n">
        <f aca="false">IF(B5="Long",D5-0.05,C5+0.05)</f>
        <v>17.36</v>
      </c>
      <c r="C21" s="14" t="n">
        <f aca="false">ABS(E5-(IF(B5="Long",D5-0.05,C5+0.05)))</f>
        <v>1.01</v>
      </c>
      <c r="D21" s="14" t="n">
        <f aca="false">IF(B5="Long",E5+2*ABS(E5-(IF(B5="Long",D5-0.05,C5+0.05))),E5-2*ABS(E5-(IF(B5="Long",D5-0.05,C5+0.05))))</f>
        <v>20.39</v>
      </c>
    </row>
    <row r="22" customFormat="false" ht="15" hidden="false" customHeight="false" outlineLevel="0" collapsed="false">
      <c r="A22" s="7" t="s">
        <v>34</v>
      </c>
      <c r="B22" s="14" t="n">
        <f aca="false">IF(B6="Long",D6-0.05,C6+0.05)</f>
        <v>19.75</v>
      </c>
      <c r="C22" s="14" t="n">
        <f aca="false">ABS(E6-(IF(B6="Long",D6-0.05,C6+0.05)))</f>
        <v>0.800000000000001</v>
      </c>
      <c r="D22" s="14" t="n">
        <f aca="false">IF(B6="Long",E6+2*ABS(E6-(IF(B6="Long",D6-0.05,C6+0.05))),E6-2*ABS(E6-(IF(B6="Long",D6-0.05,C6+0.05))))</f>
        <v>22.15</v>
      </c>
    </row>
    <row r="23" customFormat="false" ht="15" hidden="false" customHeight="false" outlineLevel="0" collapsed="false">
      <c r="A23" s="7" t="s">
        <v>35</v>
      </c>
      <c r="B23" s="14" t="n">
        <f aca="false">IF(B7="Long",D7-0.05,C7+0.05)</f>
        <v>21.25</v>
      </c>
      <c r="C23" s="14" t="n">
        <f aca="false">ABS(E7-(IF(B7="Long",D7-0.05,C7+0.05)))</f>
        <v>0.800000000000001</v>
      </c>
      <c r="D23" s="14" t="n">
        <f aca="false">IF(B7="Long",E7+2*ABS(E7-(IF(B7="Long",D7-0.05,C7+0.05))),E7-2*ABS(E7-(IF(B7="Long",D7-0.05,C7+0.05))))</f>
        <v>18.85</v>
      </c>
    </row>
    <row r="24" customFormat="false" ht="15" hidden="false" customHeight="false" outlineLevel="0" collapsed="false">
      <c r="A24" s="7" t="s">
        <v>37</v>
      </c>
      <c r="B24" s="14" t="n">
        <f aca="false">IF(B8="Long",D8-0.05,C8+0.05)</f>
        <v>7.97</v>
      </c>
      <c r="C24" s="14" t="n">
        <f aca="false">ABS(E8-(IF(B8="Long",D8-0.05,C8+0.05)))</f>
        <v>0.45</v>
      </c>
      <c r="D24" s="14" t="n">
        <f aca="false">IF(B8="Long",E8+2*ABS(E8-(IF(B8="Long",D8-0.05,C8+0.05))),E8-2*ABS(E8-(IF(B8="Long",D8-0.05,C8+0.05))))</f>
        <v>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0"/>
    <col collapsed="false" customWidth="true" hidden="false" outlineLevel="0" max="3" min="3" style="0" width="14"/>
    <col collapsed="false" customWidth="true" hidden="false" outlineLevel="0" max="4" min="4" style="0" width="12"/>
  </cols>
  <sheetData>
    <row r="1" customFormat="false" ht="17.35" hidden="false" customHeight="false" outlineLevel="0" collapsed="false">
      <c r="A1" s="5" t="s">
        <v>41</v>
      </c>
    </row>
    <row r="2" customFormat="false" ht="15" hidden="false" customHeight="false" outlineLevel="0" collapsed="false">
      <c r="A2" s="2" t="s">
        <v>42</v>
      </c>
    </row>
    <row r="4" customFormat="false" ht="33.75" hidden="false" customHeight="true" outlineLevel="0" collapsed="false">
      <c r="A4" s="6" t="s">
        <v>43</v>
      </c>
      <c r="B4" s="6" t="s">
        <v>44</v>
      </c>
      <c r="C4" s="6" t="s">
        <v>45</v>
      </c>
      <c r="D4" s="6" t="s">
        <v>19</v>
      </c>
    </row>
    <row r="5" customFormat="false" ht="48" hidden="false" customHeight="true" outlineLevel="0" collapsed="false">
      <c r="A5" s="7" t="n">
        <v>1</v>
      </c>
      <c r="B5" s="15" t="s">
        <v>46</v>
      </c>
      <c r="C5" s="9"/>
      <c r="D5" s="10" t="str">
        <f aca="false">IF(C5="","",IF(C5='Answer Key'!B27,"✓","Try again"))</f>
        <v/>
      </c>
    </row>
    <row r="6" customFormat="false" ht="21.75" hidden="false" customHeight="true" outlineLevel="0" collapsed="false">
      <c r="A6" s="7" t="n">
        <v>2</v>
      </c>
      <c r="B6" s="15" t="s">
        <v>47</v>
      </c>
      <c r="C6" s="9"/>
      <c r="D6" s="10" t="str">
        <f aca="false">IF(C6="","",IF(C6='Answer Key'!B28,"✓","Try again"))</f>
        <v/>
      </c>
    </row>
    <row r="7" customFormat="false" ht="21.75" hidden="false" customHeight="true" outlineLevel="0" collapsed="false">
      <c r="A7" s="7" t="n">
        <v>3</v>
      </c>
      <c r="B7" s="15" t="s">
        <v>48</v>
      </c>
      <c r="C7" s="9"/>
      <c r="D7" s="10" t="str">
        <f aca="false">IF(C7="","",IF(C7='Answer Key'!B29,"✓","Try again"))</f>
        <v/>
      </c>
    </row>
    <row r="8" customFormat="false" ht="21.75" hidden="false" customHeight="true" outlineLevel="0" collapsed="false">
      <c r="A8" s="7" t="n">
        <v>4</v>
      </c>
      <c r="B8" s="15" t="s">
        <v>49</v>
      </c>
      <c r="C8" s="9"/>
      <c r="D8" s="10" t="str">
        <f aca="false">IF(C8="","",IF(C8='Answer Key'!B30,"✓","Try again"))</f>
        <v/>
      </c>
    </row>
    <row r="9" customFormat="false" ht="21.75" hidden="false" customHeight="true" outlineLevel="0" collapsed="false">
      <c r="A9" s="7" t="n">
        <v>5</v>
      </c>
      <c r="B9" s="15" t="s">
        <v>50</v>
      </c>
      <c r="C9" s="9"/>
      <c r="D9" s="10" t="str">
        <f aca="false">IF(C9="","",IF(C9='Answer Key'!B31,"✓","Try again"))</f>
        <v/>
      </c>
    </row>
    <row r="11" customFormat="false" ht="15" hidden="false" customHeight="false" outlineLevel="0" collapsed="false">
      <c r="A11" s="11" t="s">
        <v>21</v>
      </c>
      <c r="B11" s="12" t="str">
        <f aca="false">COUNTIF(D5:D9,"✓")&amp;" / 5 correct"</f>
        <v>0 / 5 correct</v>
      </c>
    </row>
  </sheetData>
  <dataValidations count="2">
    <dataValidation allowBlank="true" errorStyle="stop" operator="between" showDropDown="false" showErrorMessage="false" showInputMessage="false" sqref="C5" type="list">
      <formula1>"A,B,C,D"</formula1>
      <formula2>0</formula2>
    </dataValidation>
    <dataValidation allowBlank="true" errorStyle="stop" operator="between" showDropDown="false" showErrorMessage="false" showInputMessage="false" sqref="C6:C9"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5" t="s">
        <v>51</v>
      </c>
    </row>
    <row r="2" customFormat="false" ht="15" hidden="false" customHeight="false" outlineLevel="0" collapsed="false">
      <c r="A2" s="2"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7.1"/>
  </cols>
  <sheetData>
    <row r="1" customFormat="false" ht="17.35" hidden="false" customHeight="false" outlineLevel="0" collapsed="false">
      <c r="A1" s="5" t="s">
        <v>53</v>
      </c>
    </row>
    <row r="2" customFormat="false" ht="15" hidden="false" customHeight="false" outlineLevel="0" collapsed="false">
      <c r="A2" s="2" t="s">
        <v>54</v>
      </c>
    </row>
    <row r="4" customFormat="false" ht="33.75" hidden="false" customHeight="true" outlineLevel="0" collapsed="false">
      <c r="A4" s="6" t="s">
        <v>13</v>
      </c>
      <c r="B4" s="6" t="s">
        <v>14</v>
      </c>
      <c r="C4" s="6" t="s">
        <v>15</v>
      </c>
      <c r="D4" s="6" t="s">
        <v>16</v>
      </c>
      <c r="E4" s="6" t="s">
        <v>17</v>
      </c>
      <c r="F4" s="6" t="s">
        <v>18</v>
      </c>
    </row>
    <row r="5" customFormat="false" ht="15" hidden="false" customHeight="false" outlineLevel="0" collapsed="false">
      <c r="A5" s="7" t="n">
        <v>1</v>
      </c>
      <c r="B5" s="8" t="n">
        <v>20</v>
      </c>
      <c r="C5" s="8" t="n">
        <v>20.06</v>
      </c>
      <c r="D5" s="8" t="n">
        <v>19.52</v>
      </c>
      <c r="E5" s="8" t="n">
        <v>19.62</v>
      </c>
      <c r="F5" s="7" t="s">
        <v>55</v>
      </c>
    </row>
    <row r="6" customFormat="false" ht="15" hidden="false" customHeight="false" outlineLevel="0" collapsed="false">
      <c r="A6" s="7" t="n">
        <v>2</v>
      </c>
      <c r="B6" s="8" t="n">
        <v>19.62</v>
      </c>
      <c r="C6" s="8" t="n">
        <v>19.68</v>
      </c>
      <c r="D6" s="8" t="n">
        <v>19.11</v>
      </c>
      <c r="E6" s="8" t="n">
        <v>19.18</v>
      </c>
      <c r="F6" s="7" t="s">
        <v>55</v>
      </c>
    </row>
    <row r="7" customFormat="false" ht="15" hidden="false" customHeight="false" outlineLevel="0" collapsed="false">
      <c r="A7" s="7" t="n">
        <v>3</v>
      </c>
      <c r="B7" s="8" t="n">
        <v>19.18</v>
      </c>
      <c r="C7" s="8" t="n">
        <v>19.3</v>
      </c>
      <c r="D7" s="8" t="n">
        <v>18.49</v>
      </c>
      <c r="E7" s="8" t="n">
        <v>18.65</v>
      </c>
      <c r="F7" s="7" t="s">
        <v>55</v>
      </c>
    </row>
    <row r="8" customFormat="false" ht="15" hidden="false" customHeight="false" outlineLevel="0" collapsed="false">
      <c r="A8" s="7" t="n">
        <v>4</v>
      </c>
      <c r="B8" s="8" t="n">
        <v>18.65</v>
      </c>
      <c r="C8" s="8" t="n">
        <v>18.71</v>
      </c>
      <c r="D8" s="8" t="n">
        <v>18.35</v>
      </c>
      <c r="E8" s="8" t="n">
        <v>18.41</v>
      </c>
      <c r="F8" s="7" t="s">
        <v>55</v>
      </c>
    </row>
    <row r="9" customFormat="false" ht="15" hidden="false" customHeight="false" outlineLevel="0" collapsed="false">
      <c r="A9" s="7" t="n">
        <v>5</v>
      </c>
      <c r="B9" s="8" t="n">
        <v>18.35</v>
      </c>
      <c r="C9" s="8" t="n">
        <v>18.89</v>
      </c>
      <c r="D9" s="8" t="n">
        <v>18.29</v>
      </c>
      <c r="E9" s="8" t="n">
        <v>18.83</v>
      </c>
      <c r="F9" s="7" t="s">
        <v>56</v>
      </c>
    </row>
    <row r="10" customFormat="false" ht="15" hidden="false" customHeight="false" outlineLevel="0" collapsed="false">
      <c r="A10" s="7" t="n">
        <v>6</v>
      </c>
      <c r="B10" s="8" t="n">
        <v>18.83</v>
      </c>
      <c r="C10" s="8" t="n">
        <v>19.34</v>
      </c>
      <c r="D10" s="8" t="n">
        <v>18.72</v>
      </c>
      <c r="E10" s="8" t="n">
        <v>19.26</v>
      </c>
      <c r="F10" s="7" t="s">
        <v>55</v>
      </c>
    </row>
    <row r="11" customFormat="false" ht="15" hidden="false" customHeight="false" outlineLevel="0" collapsed="false">
      <c r="A11" s="7" t="n">
        <v>7</v>
      </c>
      <c r="B11" s="8" t="n">
        <v>19.26</v>
      </c>
      <c r="C11" s="8" t="n">
        <v>19.96</v>
      </c>
      <c r="D11" s="8" t="n">
        <v>19.13</v>
      </c>
      <c r="E11" s="8" t="n">
        <v>19.84</v>
      </c>
      <c r="F11" s="7" t="s">
        <v>55</v>
      </c>
    </row>
    <row r="12" customFormat="false" ht="15" hidden="false" customHeight="false" outlineLevel="0" collapsed="false">
      <c r="A12" s="7" t="n">
        <v>8</v>
      </c>
      <c r="B12" s="8" t="n">
        <v>19.84</v>
      </c>
      <c r="C12" s="8" t="n">
        <v>20.18</v>
      </c>
      <c r="D12" s="8" t="n">
        <v>19.74</v>
      </c>
      <c r="E12" s="8" t="n">
        <v>20.09</v>
      </c>
      <c r="F12" s="7" t="s">
        <v>55</v>
      </c>
    </row>
    <row r="13" customFormat="false" ht="15" hidden="false" customHeight="false" outlineLevel="0" collapsed="false">
      <c r="A13" s="7" t="n">
        <v>9</v>
      </c>
      <c r="B13" s="8" t="n">
        <v>20.09</v>
      </c>
      <c r="C13" s="8" t="n">
        <v>20.39</v>
      </c>
      <c r="D13" s="8" t="n">
        <v>20.03</v>
      </c>
      <c r="E13" s="8" t="n">
        <v>20.33</v>
      </c>
      <c r="F13" s="7" t="s">
        <v>55</v>
      </c>
    </row>
    <row r="14" customFormat="false" ht="15" hidden="false" customHeight="false" outlineLevel="0" collapsed="false">
      <c r="A14" s="7" t="n">
        <v>10</v>
      </c>
      <c r="B14" s="8" t="n">
        <v>20.39</v>
      </c>
      <c r="C14" s="8" t="n">
        <v>20.45</v>
      </c>
      <c r="D14" s="8" t="n">
        <v>19.85</v>
      </c>
      <c r="E14" s="8" t="n">
        <v>19.91</v>
      </c>
      <c r="F14" s="7" t="s">
        <v>57</v>
      </c>
    </row>
    <row r="15" customFormat="false" ht="15" hidden="false" customHeight="false" outlineLevel="0" collapsed="false">
      <c r="A15" s="7" t="n">
        <v>11</v>
      </c>
      <c r="B15" s="8" t="n">
        <v>19.91</v>
      </c>
      <c r="C15" s="8" t="n">
        <v>19.99</v>
      </c>
      <c r="D15" s="8" t="n">
        <v>19.22</v>
      </c>
      <c r="E15" s="8" t="n">
        <v>19.39</v>
      </c>
      <c r="F15" s="7" t="s">
        <v>55</v>
      </c>
    </row>
    <row r="16" customFormat="false" ht="15" hidden="false" customHeight="false" outlineLevel="0" collapsed="false">
      <c r="A16" s="7" t="n">
        <v>12</v>
      </c>
      <c r="B16" s="8" t="n">
        <v>19.39</v>
      </c>
      <c r="C16" s="8" t="n">
        <v>19.46</v>
      </c>
      <c r="D16" s="8" t="n">
        <v>18.83</v>
      </c>
      <c r="E16" s="8" t="n">
        <v>19.01</v>
      </c>
      <c r="F16" s="7" t="s">
        <v>55</v>
      </c>
    </row>
    <row r="17" customFormat="false" ht="15" hidden="false" customHeight="false" outlineLevel="0" collapsed="false">
      <c r="A17" s="7" t="n">
        <v>13</v>
      </c>
      <c r="B17" s="8" t="n">
        <v>19.01</v>
      </c>
      <c r="C17" s="8" t="n">
        <v>19.07</v>
      </c>
      <c r="D17" s="8" t="n">
        <v>18.71</v>
      </c>
      <c r="E17" s="8" t="n">
        <v>18.77</v>
      </c>
      <c r="F17" s="7" t="s">
        <v>55</v>
      </c>
    </row>
    <row r="18" customFormat="false" ht="15" hidden="false" customHeight="false" outlineLevel="0" collapsed="false">
      <c r="A18" s="7" t="n">
        <v>14</v>
      </c>
      <c r="B18" s="8" t="n">
        <v>18.71</v>
      </c>
      <c r="C18" s="8" t="n">
        <v>19.25</v>
      </c>
      <c r="D18" s="8" t="n">
        <v>18.65</v>
      </c>
      <c r="E18" s="8" t="n">
        <v>19.19</v>
      </c>
      <c r="F18" s="7" t="s">
        <v>56</v>
      </c>
    </row>
    <row r="19" customFormat="false" ht="15" hidden="false" customHeight="false" outlineLevel="0" collapsed="false">
      <c r="A19" s="7" t="n">
        <v>15</v>
      </c>
      <c r="B19" s="8" t="n">
        <v>19.19</v>
      </c>
      <c r="C19" s="8" t="n">
        <v>19.87</v>
      </c>
      <c r="D19" s="8" t="n">
        <v>19.05</v>
      </c>
      <c r="E19" s="8" t="n">
        <v>19.76</v>
      </c>
      <c r="F19" s="7" t="s">
        <v>55</v>
      </c>
    </row>
    <row r="20" customFormat="false" ht="15" hidden="false" customHeight="false" outlineLevel="0" collapsed="false">
      <c r="A20" s="7" t="n">
        <v>16</v>
      </c>
      <c r="B20" s="8" t="n">
        <v>19.76</v>
      </c>
      <c r="C20" s="8" t="n">
        <v>20.39</v>
      </c>
      <c r="D20" s="8" t="n">
        <v>19.58</v>
      </c>
      <c r="E20" s="8" t="n">
        <v>20.29</v>
      </c>
      <c r="F20" s="7" t="s">
        <v>55</v>
      </c>
    </row>
    <row r="22" customFormat="false" ht="15" hidden="false" customHeight="false" outlineLevel="0" collapsed="false">
      <c r="A22" s="2" t="s">
        <v>58</v>
      </c>
    </row>
    <row r="26" customFormat="false" ht="15" hidden="false" customHeight="false" outlineLevel="0" collapsed="false">
      <c r="A26" s="12" t="s">
        <v>59</v>
      </c>
    </row>
    <row r="27" customFormat="false" ht="15" hidden="false" customHeight="false" outlineLevel="0" collapsed="false">
      <c r="A27" s="7" t="n">
        <v>1</v>
      </c>
      <c r="B27" s="7" t="s">
        <v>60</v>
      </c>
    </row>
    <row r="28" customFormat="false" ht="15" hidden="false" customHeight="false" outlineLevel="0" collapsed="false">
      <c r="A28" s="7" t="n">
        <v>2</v>
      </c>
      <c r="B28" s="7" t="s">
        <v>61</v>
      </c>
    </row>
    <row r="29" customFormat="false" ht="15" hidden="false" customHeight="false" outlineLevel="0" collapsed="false">
      <c r="A29" s="7" t="n">
        <v>3</v>
      </c>
      <c r="B29" s="7" t="s">
        <v>61</v>
      </c>
    </row>
    <row r="30" customFormat="false" ht="15" hidden="false" customHeight="false" outlineLevel="0" collapsed="false">
      <c r="A30" s="7" t="n">
        <v>4</v>
      </c>
      <c r="B30" s="7" t="s">
        <v>62</v>
      </c>
    </row>
    <row r="31" customFormat="false" ht="15" hidden="false" customHeight="false" outlineLevel="0" collapsed="false">
      <c r="A31" s="7" t="n">
        <v>5</v>
      </c>
      <c r="B31" s="7"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2026-10-11T13:43:10Z</dcterms:created>
  <dc:creator>openpyxl</dc:creator>
  <dc:description/>
  <dc:language>en-US</dc:language>
  <cp:lastModifiedBy/>
  <dcterms:modified xsi:type="dcterms:W3CDTF">2026-10-11T13:44:10Z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