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actice" sheetId="2" state="visible" r:id="rId4"/>
    <sheet name="Quiz" sheetId="3" state="visible" r:id="rId5"/>
    <sheet name="Chart" sheetId="4" state="visible" r:id="rId6"/>
    <sheet name="Answer Ke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<sst xmlns="http://schemas.openxmlformats.org/spreadsheetml/2006/main" count="74" uniqueCount="42">
  <si>
    <t xml:space="preserve">Practice: Volume as Confirmation</t>
  </si>
  <si>
    <t xml:space="preserve">Basics of Candlesticks course · Illustrative practice data (prices in AED)</t>
  </si>
  <si>
    <t xml:space="preserve">Your task</t>
  </si>
  <si>
    <t xml:space="preserve">1. Calculate each day's volume compared with the previous 5-day average</t>
  </si>
  <si>
    <t xml:space="preserve">2. Mark High volume where it's 1.5 times the average or more</t>
  </si>
  <si>
    <t xml:space="preserve">3. See which pattern days were confirmed</t>
  </si>
  <si>
    <t xml:space="preserve">4. Then answer the five questions on the Quiz tab.</t>
  </si>
  <si>
    <t xml:space="preserve">5. Stuck? The Answer Key tab has every answer worked out.</t>
  </si>
  <si>
    <t xml:space="preserve">Legend: yellow cells = your answers. Blue numbers = given data. Check columns show ✓ or 'Try again'.</t>
  </si>
  <si>
    <t xml:space="preserve">This workbook is for education only and is not investment advice.</t>
  </si>
  <si>
    <t xml:space="preserve">Practice: Is Volume High?</t>
  </si>
  <si>
    <t xml:space="preserve">Fill in the yellow cells. Check columns update automatically.</t>
  </si>
  <si>
    <t xml:space="preserve">Day</t>
  </si>
  <si>
    <t xml:space="preserve">Open</t>
  </si>
  <si>
    <t xml:space="preserve">High</t>
  </si>
  <si>
    <t xml:space="preserve">Low</t>
  </si>
  <si>
    <t xml:space="preserve">Close</t>
  </si>
  <si>
    <t xml:space="preserve">Volume</t>
  </si>
  <si>
    <t xml:space="preserve">Volume vs 5-day average</t>
  </si>
  <si>
    <t xml:space="preserve">Check</t>
  </si>
  <si>
    <t xml:space="preserve">High volume?</t>
  </si>
  <si>
    <t xml:space="preserve">n/a</t>
  </si>
  <si>
    <t xml:space="preserve">The first five days don't have five previous days, so they're marked n/a.</t>
  </si>
  <si>
    <t xml:space="preserve">Score</t>
  </si>
  <si>
    <t xml:space="preserve">Lesson Quiz</t>
  </si>
  <si>
    <t xml:space="preserve">Choose your answers from the dropdowns. Your score updates automatically.</t>
  </si>
  <si>
    <t xml:space="preserve">#</t>
  </si>
  <si>
    <t xml:space="preserve">Question</t>
  </si>
  <si>
    <t xml:space="preserve">Your answer</t>
  </si>
  <si>
    <t xml:space="preserve">Two bullish engulfing patterns form at support. Which one is more convincing?  A) The one on half the average volume   B) They're exactly the same   C) Volume doesn't matter for patterns   D) The one on 2.5 times the average volume</t>
  </si>
  <si>
    <t xml:space="preserve">Volume is the number of shares traded.</t>
  </si>
  <si>
    <t xml:space="preserve">Volume should be compared with its recent average.</t>
  </si>
  <si>
    <t xml:space="preserve">A pattern on low volume is more reliable.</t>
  </si>
  <si>
    <t xml:space="preserve">Rallies on falling volume can run out of steam.</t>
  </si>
  <si>
    <t xml:space="preserve">Your Data as Candles</t>
  </si>
  <si>
    <t xml:space="preserve">Green bars: close above open. Red bars: close below open. Lines show the high and low.</t>
  </si>
  <si>
    <t xml:space="preserve">Answer Key</t>
  </si>
  <si>
    <t xml:space="preserve">Worked answers for the Practice and Quiz tabs.</t>
  </si>
  <si>
    <t xml:space="preserve">Quiz answers</t>
  </si>
  <si>
    <t xml:space="preserve">D</t>
  </si>
  <si>
    <t xml:space="preserve">True</t>
  </si>
  <si>
    <t xml:space="preserve">False</t>
  </si>
</sst>
</file>

<file path=xl/styles.xml><?xml version="1.0" encoding="utf-8"?>
<styleSheet xmlns="http://schemas.openxmlformats.org/spreadsheetml/2006/main">
  <numFmts count="3">
    <numFmt numFmtId="164" formatCode="General"/>
    <numFmt numFmtId="165" formatCode="0.00"/>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6"/>
      <color rgb="FF16215C"/>
      <name val="Arial"/>
      <family val="0"/>
      <charset val="1"/>
    </font>
    <font>
      <i val="true"/>
      <sz val="10"/>
      <color rgb="FF595959"/>
      <name val="Arial"/>
      <family val="0"/>
      <charset val="1"/>
    </font>
    <font>
      <sz val="11"/>
      <name val="Arial"/>
      <family val="0"/>
      <charset val="1"/>
    </font>
    <font>
      <b val="true"/>
      <sz val="12"/>
      <color rgb="FFFF4D8D"/>
      <name val="Arial"/>
      <family val="0"/>
      <charset val="1"/>
    </font>
    <font>
      <b val="true"/>
      <sz val="14"/>
      <color rgb="FF16215C"/>
      <name val="Arial"/>
      <family val="0"/>
      <charset val="1"/>
    </font>
    <font>
      <b val="true"/>
      <sz val="11"/>
      <color rgb="FFFFFFFF"/>
      <name val="Arial"/>
      <family val="0"/>
      <charset val="1"/>
    </font>
    <font>
      <sz val="11"/>
      <color rgb="FF0000FF"/>
      <name val="Arial"/>
      <family val="0"/>
      <charset val="1"/>
    </font>
    <font>
      <b val="true"/>
      <sz val="11"/>
      <color rgb="FF26A69A"/>
      <name val="Arial"/>
      <family val="0"/>
      <charset val="1"/>
    </font>
    <font>
      <b val="true"/>
      <sz val="11"/>
      <name val="Arial"/>
      <family val="0"/>
      <charset val="1"/>
    </font>
    <font>
      <b val="true"/>
      <sz val="11"/>
      <color rgb="FFFF4D8D"/>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6215C"/>
        <bgColor rgb="FF333333"/>
      </patternFill>
    </fill>
    <fill>
      <patternFill patternType="solid">
        <fgColor rgb="FFEDEDED"/>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EDEDED"/>
      <rgbColor rgb="FFCCFFFF"/>
      <rgbColor rgb="FF660066"/>
      <rgbColor rgb="FFFF4D8D"/>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F5350"/>
      <rgbColor rgb="FF595959"/>
      <rgbColor rgb="FF969696"/>
      <rgbColor rgb="FF16215C"/>
      <rgbColor rgb="FF26A69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Practice Stock: Daily Candles (illustrative)</a:t>
            </a:r>
          </a:p>
        </c:rich>
      </c:tx>
      <c:overlay val="0"/>
      <c:spPr>
        <a:noFill/>
        <a:ln w="0">
          <a:noFill/>
        </a:ln>
      </c:spPr>
    </c:title>
    <c:autoTitleDeleted val="0"/>
    <c:plotArea>
      <c:stockChart>
        <c:ser>
          <c:idx val="1"/>
          <c:order val="1"/>
          <c:tx>
            <c:strRef>
              <c:f>Practice!B4</c:f>
              <c:strCache>
                <c:ptCount val="1"/>
                <c:pt idx="0">
                  <c:v>Open</c:v>
                </c:pt>
              </c:strCache>
            </c:strRef>
          </c:tx>
          <c:cat>
            <c:strRef>
              <c:f>Practice!$A$5:$A$18</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Practice!$B$5:$B$18</c:f>
              <c:numCache>
                <c:formatCode>0.00</c:formatCode>
                <c:ptCount val="14"/>
                <c:pt idx="0">
                  <c:v>20</c:v>
                </c:pt>
                <c:pt idx="1">
                  <c:v>20.38</c:v>
                </c:pt>
                <c:pt idx="2">
                  <c:v>20.59</c:v>
                </c:pt>
                <c:pt idx="3">
                  <c:v>20.06</c:v>
                </c:pt>
                <c:pt idx="4">
                  <c:v>20.25</c:v>
                </c:pt>
                <c:pt idx="5">
                  <c:v>20.02</c:v>
                </c:pt>
                <c:pt idx="6">
                  <c:v>19.49</c:v>
                </c:pt>
                <c:pt idx="7">
                  <c:v>18.96</c:v>
                </c:pt>
                <c:pt idx="8">
                  <c:v>19.12</c:v>
                </c:pt>
                <c:pt idx="9">
                  <c:v>19.53</c:v>
                </c:pt>
                <c:pt idx="10">
                  <c:v>19.93</c:v>
                </c:pt>
                <c:pt idx="11">
                  <c:v>20.2</c:v>
                </c:pt>
                <c:pt idx="12">
                  <c:v>20.04</c:v>
                </c:pt>
                <c:pt idx="13">
                  <c:v>19.51</c:v>
                </c:pt>
              </c:numCache>
            </c:numRef>
          </c:val>
        </c:ser>
        <c:ser>
          <c:idx val="2"/>
          <c:order val="2"/>
          <c:tx>
            <c:strRef>
              <c:f>Practice!C4</c:f>
              <c:strCache>
                <c:ptCount val="1"/>
                <c:pt idx="0">
                  <c:v>High</c:v>
                </c:pt>
              </c:strCache>
            </c:strRef>
          </c:tx>
          <c:cat>
            <c:strRef>
              <c:f>Practice!$A$5:$A$18</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Practice!$C$5:$C$18</c:f>
              <c:numCache>
                <c:formatCode>0.00</c:formatCode>
                <c:ptCount val="14"/>
                <c:pt idx="0">
                  <c:v>20.44</c:v>
                </c:pt>
                <c:pt idx="1">
                  <c:v>20.64</c:v>
                </c:pt>
                <c:pt idx="2">
                  <c:v>20.71</c:v>
                </c:pt>
                <c:pt idx="3">
                  <c:v>20.38</c:v>
                </c:pt>
                <c:pt idx="4">
                  <c:v>20.32</c:v>
                </c:pt>
                <c:pt idx="5">
                  <c:v>20.18</c:v>
                </c:pt>
                <c:pt idx="6">
                  <c:v>19.56</c:v>
                </c:pt>
                <c:pt idx="7">
                  <c:v>19.14</c:v>
                </c:pt>
                <c:pt idx="8">
                  <c:v>19.7</c:v>
                </c:pt>
                <c:pt idx="9">
                  <c:v>20.1</c:v>
                </c:pt>
                <c:pt idx="10">
                  <c:v>20.29</c:v>
                </c:pt>
                <c:pt idx="11">
                  <c:v>20.88</c:v>
                </c:pt>
                <c:pt idx="12">
                  <c:v>20.14</c:v>
                </c:pt>
                <c:pt idx="13">
                  <c:v>20.12</c:v>
                </c:pt>
              </c:numCache>
            </c:numRef>
          </c:val>
        </c:ser>
        <c:ser>
          <c:idx val="3"/>
          <c:order val="3"/>
          <c:tx>
            <c:strRef>
              <c:f>Practice!D4</c:f>
              <c:strCache>
                <c:ptCount val="1"/>
                <c:pt idx="0">
                  <c:v>Low</c:v>
                </c:pt>
              </c:strCache>
            </c:strRef>
          </c:tx>
          <c:cat>
            <c:strRef>
              <c:f>Practice!$A$5:$A$18</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Practice!$D$5:$D$18</c:f>
              <c:numCache>
                <c:formatCode>0.00</c:formatCode>
                <c:ptCount val="14"/>
                <c:pt idx="0">
                  <c:v>19.89</c:v>
                </c:pt>
                <c:pt idx="1">
                  <c:v>20.32</c:v>
                </c:pt>
                <c:pt idx="2">
                  <c:v>19.9</c:v>
                </c:pt>
                <c:pt idx="3">
                  <c:v>19.99</c:v>
                </c:pt>
                <c:pt idx="4">
                  <c:v>19.89</c:v>
                </c:pt>
                <c:pt idx="5">
                  <c:v>19.37</c:v>
                </c:pt>
                <c:pt idx="6">
                  <c:v>18.93</c:v>
                </c:pt>
                <c:pt idx="7">
                  <c:v>18.32</c:v>
                </c:pt>
                <c:pt idx="8">
                  <c:v>19</c:v>
                </c:pt>
                <c:pt idx="9">
                  <c:v>19.4</c:v>
                </c:pt>
                <c:pt idx="10">
                  <c:v>19.84</c:v>
                </c:pt>
                <c:pt idx="11">
                  <c:v>20.02</c:v>
                </c:pt>
                <c:pt idx="12">
                  <c:v>19.33</c:v>
                </c:pt>
                <c:pt idx="13">
                  <c:v>19.42</c:v>
                </c:pt>
              </c:numCache>
            </c:numRef>
          </c:val>
        </c:ser>
        <c:ser>
          <c:idx val="4"/>
          <c:order val="4"/>
          <c:tx>
            <c:strRef>
              <c:f>Practice!E4</c:f>
              <c:strCache>
                <c:ptCount val="1"/>
                <c:pt idx="0">
                  <c:v>Close</c:v>
                </c:pt>
              </c:strCache>
            </c:strRef>
          </c:tx>
          <c:cat>
            <c:strRef>
              <c:f>Practice!$A$5:$A$18</c:f>
              <c:strCache>
                <c:ptCount val="14"/>
                <c:pt idx="0">
                  <c:v>1</c:v>
                </c:pt>
                <c:pt idx="1">
                  <c:v>2</c:v>
                </c:pt>
                <c:pt idx="2">
                  <c:v>3</c:v>
                </c:pt>
                <c:pt idx="3">
                  <c:v>4</c:v>
                </c:pt>
                <c:pt idx="4">
                  <c:v>5</c:v>
                </c:pt>
                <c:pt idx="5">
                  <c:v>6</c:v>
                </c:pt>
                <c:pt idx="6">
                  <c:v>7</c:v>
                </c:pt>
                <c:pt idx="7">
                  <c:v>8</c:v>
                </c:pt>
                <c:pt idx="8">
                  <c:v>9</c:v>
                </c:pt>
                <c:pt idx="9">
                  <c:v>10</c:v>
                </c:pt>
                <c:pt idx="10">
                  <c:v>11</c:v>
                </c:pt>
                <c:pt idx="11">
                  <c:v>12</c:v>
                </c:pt>
                <c:pt idx="12">
                  <c:v>13</c:v>
                </c:pt>
                <c:pt idx="13">
                  <c:v>14</c:v>
                </c:pt>
              </c:strCache>
            </c:strRef>
          </c:cat>
          <c:val>
            <c:numRef>
              <c:f>Practice!$E$5:$E$18</c:f>
              <c:numCache>
                <c:formatCode>0.00</c:formatCode>
                <c:ptCount val="14"/>
                <c:pt idx="0">
                  <c:v>20.38</c:v>
                </c:pt>
                <c:pt idx="1">
                  <c:v>20.59</c:v>
                </c:pt>
                <c:pt idx="2">
                  <c:v>20.06</c:v>
                </c:pt>
                <c:pt idx="3">
                  <c:v>20.25</c:v>
                </c:pt>
                <c:pt idx="4">
                  <c:v>20.02</c:v>
                </c:pt>
                <c:pt idx="5">
                  <c:v>19.49</c:v>
                </c:pt>
                <c:pt idx="6">
                  <c:v>19</c:v>
                </c:pt>
                <c:pt idx="7">
                  <c:v>19.12</c:v>
                </c:pt>
                <c:pt idx="8">
                  <c:v>19.53</c:v>
                </c:pt>
                <c:pt idx="9">
                  <c:v>19.93</c:v>
                </c:pt>
                <c:pt idx="10">
                  <c:v>20.16</c:v>
                </c:pt>
                <c:pt idx="11">
                  <c:v>20.04</c:v>
                </c:pt>
                <c:pt idx="12">
                  <c:v>19.51</c:v>
                </c:pt>
                <c:pt idx="13">
                  <c:v>20.02</c:v>
                </c:pt>
              </c:numCache>
            </c:numRef>
          </c:val>
        </c:ser>
        <c:hiLowLines>
          <c:spPr>
            <a:solidFill>
              <a:srgbClr val="16215c"/>
            </a:solidFill>
            <a:ln w="9360">
              <a:solidFill>
                <a:srgbClr val="16215c"/>
              </a:solidFill>
              <a:bevel/>
            </a:ln>
          </c:spPr>
        </c:hiLowLines>
        <c:upDownBars>
          <c:gapWidth val="150"/>
          <c:upBars>
            <c:spPr>
              <a:solidFill>
                <a:srgbClr val="26a69a"/>
              </a:solidFill>
              <a:ln w="9360">
                <a:solidFill>
                  <a:srgbClr val="000000"/>
                </a:solidFill>
                <a:round/>
              </a:ln>
            </c:spPr>
          </c:upBars>
          <c:downBars>
            <c:spPr>
              <a:solidFill>
                <a:srgbClr val="ef5350"/>
              </a:solidFill>
              <a:ln w="9360">
                <a:solidFill>
                  <a:srgbClr val="000000"/>
                </a:solidFill>
                <a:round/>
              </a:ln>
            </c:spPr>
          </c:downBars>
        </c:upDownBars>
        <c:axId val="24126381"/>
        <c:axId val="53136972"/>
      </c:stockChart>
      <c:catAx>
        <c:axId val="2412638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136972"/>
        <c:crosses val="autoZero"/>
        <c:auto val="1"/>
        <c:lblAlgn val="ctr"/>
        <c:lblOffset val="100"/>
        <c:noMultiLvlLbl val="0"/>
      </c:catAx>
      <c:valAx>
        <c:axId val="531369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 (AED)</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1263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160920</xdr:rowOff>
    </xdr:from>
    <xdr:to>
      <xdr:col>15</xdr:col>
      <xdr:colOff>187200</xdr:colOff>
      <xdr:row>27</xdr:row>
      <xdr:rowOff>78120</xdr:rowOff>
    </xdr:to>
    <xdr:graphicFrame>
      <xdr:nvGraphicFramePr>
        <xdr:cNvPr id="0" name="Chart 1"/>
        <xdr:cNvGraphicFramePr/>
      </xdr:nvGraphicFramePr>
      <xdr:xfrm>
        <a:off x="0" y="571680"/>
        <a:ext cx="9359640" cy="46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2" t="s">
        <v>8</v>
      </c>
    </row>
    <row r="12" customFormat="false" ht="15" hidden="false" customHeight="false" outlineLevel="0" collapsed="false">
      <c r="A12"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2"/>
    <col collapsed="false" customWidth="true" hidden="false" outlineLevel="0" max="7" min="7" style="0" width="20.7"/>
    <col collapsed="false" customWidth="true" hidden="false" outlineLevel="0" max="8" min="8" style="0" width="11"/>
    <col collapsed="false" customWidth="true" hidden="false" outlineLevel="0" max="9" min="9" style="0" width="14"/>
    <col collapsed="false" customWidth="true" hidden="false" outlineLevel="0" max="10" min="10" style="0" width="11"/>
  </cols>
  <sheetData>
    <row r="1" customFormat="false" ht="17.35" hidden="false" customHeight="false" outlineLevel="0" collapsed="false">
      <c r="A1" s="5" t="s">
        <v>10</v>
      </c>
    </row>
    <row r="2" customFormat="false" ht="15" hidden="false" customHeight="false" outlineLevel="0" collapsed="false">
      <c r="A2" s="2" t="s">
        <v>11</v>
      </c>
    </row>
    <row r="4" customFormat="false" ht="33.75" hidden="false" customHeight="true" outlineLevel="0" collapsed="false">
      <c r="A4" s="6" t="s">
        <v>12</v>
      </c>
      <c r="B4" s="6" t="s">
        <v>13</v>
      </c>
      <c r="C4" s="6" t="s">
        <v>14</v>
      </c>
      <c r="D4" s="6" t="s">
        <v>15</v>
      </c>
      <c r="E4" s="6" t="s">
        <v>16</v>
      </c>
      <c r="F4" s="6" t="s">
        <v>17</v>
      </c>
      <c r="G4" s="6" t="s">
        <v>18</v>
      </c>
      <c r="H4" s="6" t="s">
        <v>19</v>
      </c>
      <c r="I4" s="6" t="s">
        <v>20</v>
      </c>
      <c r="J4" s="6" t="s">
        <v>19</v>
      </c>
    </row>
    <row r="5" customFormat="false" ht="15" hidden="false" customHeight="false" outlineLevel="0" collapsed="false">
      <c r="A5" s="7" t="n">
        <v>1</v>
      </c>
      <c r="B5" s="8" t="n">
        <v>20</v>
      </c>
      <c r="C5" s="8" t="n">
        <v>20.44</v>
      </c>
      <c r="D5" s="8" t="n">
        <v>19.89</v>
      </c>
      <c r="E5" s="8" t="n">
        <v>20.38</v>
      </c>
      <c r="F5" s="9" t="n">
        <v>1120000</v>
      </c>
      <c r="G5" s="10" t="s">
        <v>21</v>
      </c>
      <c r="H5" s="7"/>
      <c r="I5" s="10" t="s">
        <v>21</v>
      </c>
      <c r="J5" s="7"/>
    </row>
    <row r="6" customFormat="false" ht="15" hidden="false" customHeight="false" outlineLevel="0" collapsed="false">
      <c r="A6" s="7" t="n">
        <v>2</v>
      </c>
      <c r="B6" s="8" t="n">
        <v>20.38</v>
      </c>
      <c r="C6" s="8" t="n">
        <v>20.64</v>
      </c>
      <c r="D6" s="8" t="n">
        <v>20.32</v>
      </c>
      <c r="E6" s="8" t="n">
        <v>20.59</v>
      </c>
      <c r="F6" s="9" t="n">
        <v>1146000</v>
      </c>
      <c r="G6" s="10" t="s">
        <v>21</v>
      </c>
      <c r="H6" s="7"/>
      <c r="I6" s="10" t="s">
        <v>21</v>
      </c>
      <c r="J6" s="7"/>
    </row>
    <row r="7" customFormat="false" ht="15" hidden="false" customHeight="false" outlineLevel="0" collapsed="false">
      <c r="A7" s="7" t="n">
        <v>3</v>
      </c>
      <c r="B7" s="8" t="n">
        <v>20.59</v>
      </c>
      <c r="C7" s="8" t="n">
        <v>20.71</v>
      </c>
      <c r="D7" s="8" t="n">
        <v>19.9</v>
      </c>
      <c r="E7" s="8" t="n">
        <v>20.06</v>
      </c>
      <c r="F7" s="9" t="n">
        <v>1279000</v>
      </c>
      <c r="G7" s="10" t="s">
        <v>21</v>
      </c>
      <c r="H7" s="7"/>
      <c r="I7" s="10" t="s">
        <v>21</v>
      </c>
      <c r="J7" s="7"/>
    </row>
    <row r="8" customFormat="false" ht="15" hidden="false" customHeight="false" outlineLevel="0" collapsed="false">
      <c r="A8" s="7" t="n">
        <v>4</v>
      </c>
      <c r="B8" s="8" t="n">
        <v>20.06</v>
      </c>
      <c r="C8" s="8" t="n">
        <v>20.38</v>
      </c>
      <c r="D8" s="8" t="n">
        <v>19.99</v>
      </c>
      <c r="E8" s="8" t="n">
        <v>20.25</v>
      </c>
      <c r="F8" s="9" t="n">
        <v>973000</v>
      </c>
      <c r="G8" s="10" t="s">
        <v>21</v>
      </c>
      <c r="H8" s="7"/>
      <c r="I8" s="10" t="s">
        <v>21</v>
      </c>
      <c r="J8" s="7"/>
    </row>
    <row r="9" customFormat="false" ht="15" hidden="false" customHeight="false" outlineLevel="0" collapsed="false">
      <c r="A9" s="7" t="n">
        <v>5</v>
      </c>
      <c r="B9" s="8" t="n">
        <v>20.25</v>
      </c>
      <c r="C9" s="8" t="n">
        <v>20.32</v>
      </c>
      <c r="D9" s="8" t="n">
        <v>19.89</v>
      </c>
      <c r="E9" s="8" t="n">
        <v>20.02</v>
      </c>
      <c r="F9" s="9" t="n">
        <v>1115000</v>
      </c>
      <c r="G9" s="10" t="s">
        <v>21</v>
      </c>
      <c r="H9" s="7"/>
      <c r="I9" s="10" t="s">
        <v>21</v>
      </c>
      <c r="J9" s="7"/>
    </row>
    <row r="10" customFormat="false" ht="15" hidden="false" customHeight="false" outlineLevel="0" collapsed="false">
      <c r="A10" s="7" t="n">
        <v>6</v>
      </c>
      <c r="B10" s="8" t="n">
        <v>20.02</v>
      </c>
      <c r="C10" s="8" t="n">
        <v>20.18</v>
      </c>
      <c r="D10" s="8" t="n">
        <v>19.37</v>
      </c>
      <c r="E10" s="8" t="n">
        <v>19.49</v>
      </c>
      <c r="F10" s="9" t="n">
        <v>1060000</v>
      </c>
      <c r="G10" s="11"/>
      <c r="H10" s="12" t="str">
        <f aca="false">IF(G10="","",IF(ROUND(G10,2)=ROUND('Answer Key'!G10,2),"✓","Try again"))</f>
        <v/>
      </c>
      <c r="I10" s="13"/>
      <c r="J10" s="12" t="str">
        <f aca="false">IF(I10="","",IF(I10='Answer Key'!H10,"✓","Try again"))</f>
        <v/>
      </c>
    </row>
    <row r="11" customFormat="false" ht="15" hidden="false" customHeight="false" outlineLevel="0" collapsed="false">
      <c r="A11" s="7" t="n">
        <v>7</v>
      </c>
      <c r="B11" s="8" t="n">
        <v>19.49</v>
      </c>
      <c r="C11" s="8" t="n">
        <v>19.56</v>
      </c>
      <c r="D11" s="8" t="n">
        <v>18.93</v>
      </c>
      <c r="E11" s="8" t="n">
        <v>19</v>
      </c>
      <c r="F11" s="9" t="n">
        <v>916000</v>
      </c>
      <c r="G11" s="11"/>
      <c r="H11" s="12" t="str">
        <f aca="false">IF(G11="","",IF(ROUND(G11,2)=ROUND('Answer Key'!G11,2),"✓","Try again"))</f>
        <v/>
      </c>
      <c r="I11" s="13"/>
      <c r="J11" s="12" t="str">
        <f aca="false">IF(I11="","",IF(I11='Answer Key'!H11,"✓","Try again"))</f>
        <v/>
      </c>
    </row>
    <row r="12" customFormat="false" ht="15" hidden="false" customHeight="false" outlineLevel="0" collapsed="false">
      <c r="A12" s="7" t="n">
        <v>8</v>
      </c>
      <c r="B12" s="8" t="n">
        <v>18.96</v>
      </c>
      <c r="C12" s="8" t="n">
        <v>19.14</v>
      </c>
      <c r="D12" s="8" t="n">
        <v>18.32</v>
      </c>
      <c r="E12" s="8" t="n">
        <v>19.12</v>
      </c>
      <c r="F12" s="9" t="n">
        <v>2931000</v>
      </c>
      <c r="G12" s="11"/>
      <c r="H12" s="12" t="str">
        <f aca="false">IF(G12="","",IF(ROUND(G12,2)=ROUND('Answer Key'!G12,2),"✓","Try again"))</f>
        <v/>
      </c>
      <c r="I12" s="13"/>
      <c r="J12" s="12" t="str">
        <f aca="false">IF(I12="","",IF(I12='Answer Key'!H12,"✓","Try again"))</f>
        <v/>
      </c>
    </row>
    <row r="13" customFormat="false" ht="15" hidden="false" customHeight="false" outlineLevel="0" collapsed="false">
      <c r="A13" s="7" t="n">
        <v>9</v>
      </c>
      <c r="B13" s="8" t="n">
        <v>19.12</v>
      </c>
      <c r="C13" s="8" t="n">
        <v>19.7</v>
      </c>
      <c r="D13" s="8" t="n">
        <v>19</v>
      </c>
      <c r="E13" s="8" t="n">
        <v>19.53</v>
      </c>
      <c r="F13" s="9" t="n">
        <v>915000</v>
      </c>
      <c r="G13" s="11"/>
      <c r="H13" s="12" t="str">
        <f aca="false">IF(G13="","",IF(ROUND(G13,2)=ROUND('Answer Key'!G13,2),"✓","Try again"))</f>
        <v/>
      </c>
      <c r="I13" s="13"/>
      <c r="J13" s="12" t="str">
        <f aca="false">IF(I13="","",IF(I13='Answer Key'!H13,"✓","Try again"))</f>
        <v/>
      </c>
    </row>
    <row r="14" customFormat="false" ht="15" hidden="false" customHeight="false" outlineLevel="0" collapsed="false">
      <c r="A14" s="7" t="n">
        <v>10</v>
      </c>
      <c r="B14" s="8" t="n">
        <v>19.53</v>
      </c>
      <c r="C14" s="8" t="n">
        <v>20.1</v>
      </c>
      <c r="D14" s="8" t="n">
        <v>19.4</v>
      </c>
      <c r="E14" s="8" t="n">
        <v>19.93</v>
      </c>
      <c r="F14" s="9" t="n">
        <v>1120000</v>
      </c>
      <c r="G14" s="11"/>
      <c r="H14" s="12" t="str">
        <f aca="false">IF(G14="","",IF(ROUND(G14,2)=ROUND('Answer Key'!G14,2),"✓","Try again"))</f>
        <v/>
      </c>
      <c r="I14" s="13"/>
      <c r="J14" s="12" t="str">
        <f aca="false">IF(I14="","",IF(I14='Answer Key'!H14,"✓","Try again"))</f>
        <v/>
      </c>
    </row>
    <row r="15" customFormat="false" ht="15" hidden="false" customHeight="false" outlineLevel="0" collapsed="false">
      <c r="A15" s="7" t="n">
        <v>11</v>
      </c>
      <c r="B15" s="8" t="n">
        <v>19.93</v>
      </c>
      <c r="C15" s="8" t="n">
        <v>20.29</v>
      </c>
      <c r="D15" s="8" t="n">
        <v>19.84</v>
      </c>
      <c r="E15" s="8" t="n">
        <v>20.16</v>
      </c>
      <c r="F15" s="9" t="n">
        <v>1173000</v>
      </c>
      <c r="G15" s="11"/>
      <c r="H15" s="12" t="str">
        <f aca="false">IF(G15="","",IF(ROUND(G15,2)=ROUND('Answer Key'!G15,2),"✓","Try again"))</f>
        <v/>
      </c>
      <c r="I15" s="13"/>
      <c r="J15" s="12" t="str">
        <f aca="false">IF(I15="","",IF(I15='Answer Key'!H15,"✓","Try again"))</f>
        <v/>
      </c>
    </row>
    <row r="16" customFormat="false" ht="15" hidden="false" customHeight="false" outlineLevel="0" collapsed="false">
      <c r="A16" s="7" t="n">
        <v>12</v>
      </c>
      <c r="B16" s="8" t="n">
        <v>20.2</v>
      </c>
      <c r="C16" s="8" t="n">
        <v>20.88</v>
      </c>
      <c r="D16" s="8" t="n">
        <v>20.02</v>
      </c>
      <c r="E16" s="8" t="n">
        <v>20.04</v>
      </c>
      <c r="F16" s="9" t="n">
        <v>798000</v>
      </c>
      <c r="G16" s="11"/>
      <c r="H16" s="12" t="str">
        <f aca="false">IF(G16="","",IF(ROUND(G16,2)=ROUND('Answer Key'!G16,2),"✓","Try again"))</f>
        <v/>
      </c>
      <c r="I16" s="13"/>
      <c r="J16" s="12" t="str">
        <f aca="false">IF(I16="","",IF(I16='Answer Key'!H16,"✓","Try again"))</f>
        <v/>
      </c>
    </row>
    <row r="17" customFormat="false" ht="15" hidden="false" customHeight="false" outlineLevel="0" collapsed="false">
      <c r="A17" s="7" t="n">
        <v>13</v>
      </c>
      <c r="B17" s="8" t="n">
        <v>20.04</v>
      </c>
      <c r="C17" s="8" t="n">
        <v>20.14</v>
      </c>
      <c r="D17" s="8" t="n">
        <v>19.33</v>
      </c>
      <c r="E17" s="8" t="n">
        <v>19.51</v>
      </c>
      <c r="F17" s="9" t="n">
        <v>1169000</v>
      </c>
      <c r="G17" s="11"/>
      <c r="H17" s="12" t="str">
        <f aca="false">IF(G17="","",IF(ROUND(G17,2)=ROUND('Answer Key'!G17,2),"✓","Try again"))</f>
        <v/>
      </c>
      <c r="I17" s="13"/>
      <c r="J17" s="12" t="str">
        <f aca="false">IF(I17="","",IF(I17='Answer Key'!H17,"✓","Try again"))</f>
        <v/>
      </c>
    </row>
    <row r="18" customFormat="false" ht="15" hidden="false" customHeight="false" outlineLevel="0" collapsed="false">
      <c r="A18" s="7" t="n">
        <v>14</v>
      </c>
      <c r="B18" s="8" t="n">
        <v>19.51</v>
      </c>
      <c r="C18" s="8" t="n">
        <v>20.12</v>
      </c>
      <c r="D18" s="8" t="n">
        <v>19.42</v>
      </c>
      <c r="E18" s="8" t="n">
        <v>20.02</v>
      </c>
      <c r="F18" s="9" t="n">
        <v>915000</v>
      </c>
      <c r="G18" s="11"/>
      <c r="H18" s="12" t="str">
        <f aca="false">IF(G18="","",IF(ROUND(G18,2)=ROUND('Answer Key'!G18,2),"✓","Try again"))</f>
        <v/>
      </c>
      <c r="I18" s="13"/>
      <c r="J18" s="12" t="str">
        <f aca="false">IF(I18="","",IF(I18='Answer Key'!H18,"✓","Try again"))</f>
        <v/>
      </c>
    </row>
    <row r="22" customFormat="false" ht="15" hidden="false" customHeight="false" outlineLevel="0" collapsed="false">
      <c r="A22" s="2" t="s">
        <v>22</v>
      </c>
    </row>
    <row r="24" customFormat="false" ht="15" hidden="false" customHeight="false" outlineLevel="0" collapsed="false">
      <c r="A24" s="14" t="s">
        <v>23</v>
      </c>
      <c r="B24" s="15" t="str">
        <f aca="false">(COUNTIF(H5:H18,"✓")+COUNTIF(J5:J18,"✓"))&amp;" / 18 correct"</f>
        <v>0 / 18 correct</v>
      </c>
    </row>
  </sheetData>
  <dataValidations count="1">
    <dataValidation allowBlank="true" errorStyle="stop" operator="between" showDropDown="false" showErrorMessage="false" showInputMessage="false" sqref="I10:I1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 collapsed="false" customWidth="true" hidden="false" outlineLevel="0" max="3" min="3" style="0" width="14"/>
    <col collapsed="false" customWidth="true" hidden="false" outlineLevel="0" max="4" min="4" style="0" width="12"/>
  </cols>
  <sheetData>
    <row r="1" customFormat="false" ht="17.35" hidden="false" customHeight="false" outlineLevel="0" collapsed="false">
      <c r="A1" s="5" t="s">
        <v>24</v>
      </c>
    </row>
    <row r="2" customFormat="false" ht="15" hidden="false" customHeight="false" outlineLevel="0" collapsed="false">
      <c r="A2" s="2" t="s">
        <v>25</v>
      </c>
    </row>
    <row r="4" customFormat="false" ht="33.75" hidden="false" customHeight="true" outlineLevel="0" collapsed="false">
      <c r="A4" s="6" t="s">
        <v>26</v>
      </c>
      <c r="B4" s="6" t="s">
        <v>27</v>
      </c>
      <c r="C4" s="6" t="s">
        <v>28</v>
      </c>
      <c r="D4" s="6" t="s">
        <v>19</v>
      </c>
    </row>
    <row r="5" customFormat="false" ht="48" hidden="false" customHeight="true" outlineLevel="0" collapsed="false">
      <c r="A5" s="7" t="n">
        <v>1</v>
      </c>
      <c r="B5" s="16" t="s">
        <v>29</v>
      </c>
      <c r="C5" s="13"/>
      <c r="D5" s="12" t="str">
        <f aca="false">IF(C5="","",IF(C5='Answer Key'!B25,"✓","Try again"))</f>
        <v/>
      </c>
    </row>
    <row r="6" customFormat="false" ht="21.75" hidden="false" customHeight="true" outlineLevel="0" collapsed="false">
      <c r="A6" s="7" t="n">
        <v>2</v>
      </c>
      <c r="B6" s="16" t="s">
        <v>30</v>
      </c>
      <c r="C6" s="13"/>
      <c r="D6" s="12" t="str">
        <f aca="false">IF(C6="","",IF(C6='Answer Key'!B26,"✓","Try again"))</f>
        <v/>
      </c>
    </row>
    <row r="7" customFormat="false" ht="21.75" hidden="false" customHeight="true" outlineLevel="0" collapsed="false">
      <c r="A7" s="7" t="n">
        <v>3</v>
      </c>
      <c r="B7" s="16" t="s">
        <v>31</v>
      </c>
      <c r="C7" s="13"/>
      <c r="D7" s="12" t="str">
        <f aca="false">IF(C7="","",IF(C7='Answer Key'!B27,"✓","Try again"))</f>
        <v/>
      </c>
    </row>
    <row r="8" customFormat="false" ht="21.75" hidden="false" customHeight="true" outlineLevel="0" collapsed="false">
      <c r="A8" s="7" t="n">
        <v>4</v>
      </c>
      <c r="B8" s="16" t="s">
        <v>32</v>
      </c>
      <c r="C8" s="13"/>
      <c r="D8" s="12" t="str">
        <f aca="false">IF(C8="","",IF(C8='Answer Key'!B28,"✓","Try again"))</f>
        <v/>
      </c>
    </row>
    <row r="9" customFormat="false" ht="21.75" hidden="false" customHeight="true" outlineLevel="0" collapsed="false">
      <c r="A9" s="7" t="n">
        <v>5</v>
      </c>
      <c r="B9" s="16" t="s">
        <v>33</v>
      </c>
      <c r="C9" s="13"/>
      <c r="D9" s="12" t="str">
        <f aca="false">IF(C9="","",IF(C9='Answer Key'!B29,"✓","Try again"))</f>
        <v/>
      </c>
    </row>
    <row r="11" customFormat="false" ht="15" hidden="false" customHeight="false" outlineLevel="0" collapsed="false">
      <c r="A11" s="14" t="s">
        <v>23</v>
      </c>
      <c r="B11" s="15" t="str">
        <f aca="false">COUNTIF(D5:D9,"✓")&amp;" / 5 correct"</f>
        <v>0 / 5 correct</v>
      </c>
    </row>
  </sheetData>
  <dataValidations count="2">
    <dataValidation allowBlank="true" errorStyle="stop" operator="between" showDropDown="false" showErrorMessage="false" showInputMessage="false" sqref="C5" type="list">
      <formula1>"A,B,C,D"</formula1>
      <formula2>0</formula2>
    </dataValidation>
    <dataValidation allowBlank="true" errorStyle="stop" operator="between" showDropDown="false" showErrorMessage="false" showInputMessage="false" sqref="C6:C9"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5" t="s">
        <v>34</v>
      </c>
    </row>
    <row r="2" customFormat="false" ht="15" hidden="false" customHeight="false" outlineLevel="0" collapsed="false">
      <c r="A2" s="2"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5" min="2" style="0" width="9"/>
    <col collapsed="false" customWidth="true" hidden="false" outlineLevel="0" max="6" min="6" style="0" width="12"/>
    <col collapsed="false" customWidth="true" hidden="false" outlineLevel="0" max="7" min="7" style="0" width="20.7"/>
    <col collapsed="false" customWidth="true" hidden="false" outlineLevel="0" max="8" min="8" style="0" width="14"/>
  </cols>
  <sheetData>
    <row r="1" customFormat="false" ht="17.35" hidden="false" customHeight="false" outlineLevel="0" collapsed="false">
      <c r="A1" s="5" t="s">
        <v>36</v>
      </c>
    </row>
    <row r="2" customFormat="false" ht="15" hidden="false" customHeight="false" outlineLevel="0" collapsed="false">
      <c r="A2" s="2" t="s">
        <v>37</v>
      </c>
    </row>
    <row r="4" customFormat="false" ht="33.75" hidden="false" customHeight="true" outlineLevel="0" collapsed="false">
      <c r="A4" s="6" t="s">
        <v>12</v>
      </c>
      <c r="B4" s="6" t="s">
        <v>13</v>
      </c>
      <c r="C4" s="6" t="s">
        <v>14</v>
      </c>
      <c r="D4" s="6" t="s">
        <v>15</v>
      </c>
      <c r="E4" s="6" t="s">
        <v>16</v>
      </c>
      <c r="F4" s="6" t="s">
        <v>17</v>
      </c>
      <c r="G4" s="6" t="s">
        <v>18</v>
      </c>
      <c r="H4" s="6" t="s">
        <v>20</v>
      </c>
    </row>
    <row r="5" customFormat="false" ht="15" hidden="false" customHeight="false" outlineLevel="0" collapsed="false">
      <c r="A5" s="7" t="n">
        <v>1</v>
      </c>
      <c r="B5" s="8" t="n">
        <v>20</v>
      </c>
      <c r="C5" s="8" t="n">
        <v>20.44</v>
      </c>
      <c r="D5" s="8" t="n">
        <v>19.89</v>
      </c>
      <c r="E5" s="8" t="n">
        <v>20.38</v>
      </c>
      <c r="F5" s="9" t="n">
        <v>1120000</v>
      </c>
      <c r="G5" s="7" t="s">
        <v>21</v>
      </c>
      <c r="H5" s="7" t="s">
        <v>21</v>
      </c>
    </row>
    <row r="6" customFormat="false" ht="15" hidden="false" customHeight="false" outlineLevel="0" collapsed="false">
      <c r="A6" s="7" t="n">
        <v>2</v>
      </c>
      <c r="B6" s="8" t="n">
        <v>20.38</v>
      </c>
      <c r="C6" s="8" t="n">
        <v>20.64</v>
      </c>
      <c r="D6" s="8" t="n">
        <v>20.32</v>
      </c>
      <c r="E6" s="8" t="n">
        <v>20.59</v>
      </c>
      <c r="F6" s="9" t="n">
        <v>1146000</v>
      </c>
      <c r="G6" s="7" t="s">
        <v>21</v>
      </c>
      <c r="H6" s="7" t="s">
        <v>21</v>
      </c>
    </row>
    <row r="7" customFormat="false" ht="15" hidden="false" customHeight="false" outlineLevel="0" collapsed="false">
      <c r="A7" s="7" t="n">
        <v>3</v>
      </c>
      <c r="B7" s="8" t="n">
        <v>20.59</v>
      </c>
      <c r="C7" s="8" t="n">
        <v>20.71</v>
      </c>
      <c r="D7" s="8" t="n">
        <v>19.9</v>
      </c>
      <c r="E7" s="8" t="n">
        <v>20.06</v>
      </c>
      <c r="F7" s="9" t="n">
        <v>1279000</v>
      </c>
      <c r="G7" s="7" t="s">
        <v>21</v>
      </c>
      <c r="H7" s="7" t="s">
        <v>21</v>
      </c>
    </row>
    <row r="8" customFormat="false" ht="15" hidden="false" customHeight="false" outlineLevel="0" collapsed="false">
      <c r="A8" s="7" t="n">
        <v>4</v>
      </c>
      <c r="B8" s="8" t="n">
        <v>20.06</v>
      </c>
      <c r="C8" s="8" t="n">
        <v>20.38</v>
      </c>
      <c r="D8" s="8" t="n">
        <v>19.99</v>
      </c>
      <c r="E8" s="8" t="n">
        <v>20.25</v>
      </c>
      <c r="F8" s="9" t="n">
        <v>973000</v>
      </c>
      <c r="G8" s="7" t="s">
        <v>21</v>
      </c>
      <c r="H8" s="7" t="s">
        <v>21</v>
      </c>
    </row>
    <row r="9" customFormat="false" ht="15" hidden="false" customHeight="false" outlineLevel="0" collapsed="false">
      <c r="A9" s="7" t="n">
        <v>5</v>
      </c>
      <c r="B9" s="8" t="n">
        <v>20.25</v>
      </c>
      <c r="C9" s="8" t="n">
        <v>20.32</v>
      </c>
      <c r="D9" s="8" t="n">
        <v>19.89</v>
      </c>
      <c r="E9" s="8" t="n">
        <v>20.02</v>
      </c>
      <c r="F9" s="9" t="n">
        <v>1115000</v>
      </c>
      <c r="G9" s="7" t="s">
        <v>21</v>
      </c>
      <c r="H9" s="7" t="s">
        <v>21</v>
      </c>
    </row>
    <row r="10" customFormat="false" ht="15" hidden="false" customHeight="false" outlineLevel="0" collapsed="false">
      <c r="A10" s="7" t="n">
        <v>6</v>
      </c>
      <c r="B10" s="8" t="n">
        <v>20.02</v>
      </c>
      <c r="C10" s="8" t="n">
        <v>20.18</v>
      </c>
      <c r="D10" s="8" t="n">
        <v>19.37</v>
      </c>
      <c r="E10" s="8" t="n">
        <v>19.49</v>
      </c>
      <c r="F10" s="9" t="n">
        <v>1060000</v>
      </c>
      <c r="G10" s="17" t="n">
        <f aca="false">F10/AVERAGE(F5:F9)</f>
        <v>0.940884075980827</v>
      </c>
      <c r="H10" s="7" t="str">
        <f aca="false">IF(F10/AVERAGE(F5:F9)&gt;=1.5,"Yes","No")</f>
        <v>No</v>
      </c>
    </row>
    <row r="11" customFormat="false" ht="15" hidden="false" customHeight="false" outlineLevel="0" collapsed="false">
      <c r="A11" s="7" t="n">
        <v>7</v>
      </c>
      <c r="B11" s="8" t="n">
        <v>19.49</v>
      </c>
      <c r="C11" s="8" t="n">
        <v>19.56</v>
      </c>
      <c r="D11" s="8" t="n">
        <v>18.93</v>
      </c>
      <c r="E11" s="8" t="n">
        <v>19</v>
      </c>
      <c r="F11" s="9" t="n">
        <v>916000</v>
      </c>
      <c r="G11" s="17" t="n">
        <f aca="false">F11/AVERAGE(F6:F10)</f>
        <v>0.821819486811412</v>
      </c>
      <c r="H11" s="7" t="str">
        <f aca="false">IF(F11/AVERAGE(F6:F10)&gt;=1.5,"Yes","No")</f>
        <v>No</v>
      </c>
    </row>
    <row r="12" customFormat="false" ht="15" hidden="false" customHeight="false" outlineLevel="0" collapsed="false">
      <c r="A12" s="7" t="n">
        <v>8</v>
      </c>
      <c r="B12" s="8" t="n">
        <v>18.96</v>
      </c>
      <c r="C12" s="8" t="n">
        <v>19.14</v>
      </c>
      <c r="D12" s="8" t="n">
        <v>18.32</v>
      </c>
      <c r="E12" s="8" t="n">
        <v>19.12</v>
      </c>
      <c r="F12" s="9" t="n">
        <v>2931000</v>
      </c>
      <c r="G12" s="17" t="n">
        <f aca="false">F12/AVERAGE(F7:F11)</f>
        <v>2.74284110050533</v>
      </c>
      <c r="H12" s="7" t="str">
        <f aca="false">IF(F12/AVERAGE(F7:F11)&gt;=1.5,"Yes","No")</f>
        <v>Yes</v>
      </c>
    </row>
    <row r="13" customFormat="false" ht="15" hidden="false" customHeight="false" outlineLevel="0" collapsed="false">
      <c r="A13" s="7" t="n">
        <v>9</v>
      </c>
      <c r="B13" s="8" t="n">
        <v>19.12</v>
      </c>
      <c r="C13" s="8" t="n">
        <v>19.7</v>
      </c>
      <c r="D13" s="8" t="n">
        <v>19</v>
      </c>
      <c r="E13" s="8" t="n">
        <v>19.53</v>
      </c>
      <c r="F13" s="9" t="n">
        <v>915000</v>
      </c>
      <c r="G13" s="17" t="n">
        <f aca="false">F13/AVERAGE(F8:F12)</f>
        <v>0.654038598999285</v>
      </c>
      <c r="H13" s="7" t="str">
        <f aca="false">IF(F13/AVERAGE(F8:F12)&gt;=1.5,"Yes","No")</f>
        <v>No</v>
      </c>
    </row>
    <row r="14" customFormat="false" ht="15" hidden="false" customHeight="false" outlineLevel="0" collapsed="false">
      <c r="A14" s="7" t="n">
        <v>10</v>
      </c>
      <c r="B14" s="8" t="n">
        <v>19.53</v>
      </c>
      <c r="C14" s="8" t="n">
        <v>20.1</v>
      </c>
      <c r="D14" s="8" t="n">
        <v>19.4</v>
      </c>
      <c r="E14" s="8" t="n">
        <v>19.93</v>
      </c>
      <c r="F14" s="9" t="n">
        <v>1120000</v>
      </c>
      <c r="G14" s="17" t="n">
        <f aca="false">F14/AVERAGE(F9:F13)</f>
        <v>0.807265388496468</v>
      </c>
      <c r="H14" s="7" t="str">
        <f aca="false">IF(F14/AVERAGE(F9:F13)&gt;=1.5,"Yes","No")</f>
        <v>No</v>
      </c>
    </row>
    <row r="15" customFormat="false" ht="15" hidden="false" customHeight="false" outlineLevel="0" collapsed="false">
      <c r="A15" s="7" t="n">
        <v>11</v>
      </c>
      <c r="B15" s="8" t="n">
        <v>19.93</v>
      </c>
      <c r="C15" s="8" t="n">
        <v>20.29</v>
      </c>
      <c r="D15" s="8" t="n">
        <v>19.84</v>
      </c>
      <c r="E15" s="8" t="n">
        <v>20.16</v>
      </c>
      <c r="F15" s="9" t="n">
        <v>1173000</v>
      </c>
      <c r="G15" s="17" t="n">
        <f aca="false">F15/AVERAGE(F10:F14)</f>
        <v>0.84485738980121</v>
      </c>
      <c r="H15" s="7" t="str">
        <f aca="false">IF(F15/AVERAGE(F10:F14)&gt;=1.5,"Yes","No")</f>
        <v>No</v>
      </c>
    </row>
    <row r="16" customFormat="false" ht="15" hidden="false" customHeight="false" outlineLevel="0" collapsed="false">
      <c r="A16" s="7" t="n">
        <v>12</v>
      </c>
      <c r="B16" s="8" t="n">
        <v>20.2</v>
      </c>
      <c r="C16" s="8" t="n">
        <v>20.88</v>
      </c>
      <c r="D16" s="8" t="n">
        <v>20.02</v>
      </c>
      <c r="E16" s="8" t="n">
        <v>20.04</v>
      </c>
      <c r="F16" s="9" t="n">
        <v>798000</v>
      </c>
      <c r="G16" s="17" t="n">
        <f aca="false">F16/AVERAGE(F11:F15)</f>
        <v>0.565556343019135</v>
      </c>
      <c r="H16" s="7" t="str">
        <f aca="false">IF(F16/AVERAGE(F11:F15)&gt;=1.5,"Yes","No")</f>
        <v>No</v>
      </c>
    </row>
    <row r="17" customFormat="false" ht="15" hidden="false" customHeight="false" outlineLevel="0" collapsed="false">
      <c r="A17" s="7" t="n">
        <v>13</v>
      </c>
      <c r="B17" s="8" t="n">
        <v>20.04</v>
      </c>
      <c r="C17" s="8" t="n">
        <v>20.14</v>
      </c>
      <c r="D17" s="8" t="n">
        <v>19.33</v>
      </c>
      <c r="E17" s="8" t="n">
        <v>19.51</v>
      </c>
      <c r="F17" s="9" t="n">
        <v>1169000</v>
      </c>
      <c r="G17" s="17" t="n">
        <f aca="false">F17/AVERAGE(F12:F16)</f>
        <v>0.842583249243189</v>
      </c>
      <c r="H17" s="7" t="str">
        <f aca="false">IF(F17/AVERAGE(F12:F16)&gt;=1.5,"Yes","No")</f>
        <v>No</v>
      </c>
    </row>
    <row r="18" customFormat="false" ht="15" hidden="false" customHeight="false" outlineLevel="0" collapsed="false">
      <c r="A18" s="7" t="n">
        <v>14</v>
      </c>
      <c r="B18" s="8" t="n">
        <v>19.51</v>
      </c>
      <c r="C18" s="8" t="n">
        <v>20.12</v>
      </c>
      <c r="D18" s="8" t="n">
        <v>19.42</v>
      </c>
      <c r="E18" s="8" t="n">
        <v>20.02</v>
      </c>
      <c r="F18" s="9" t="n">
        <v>915000</v>
      </c>
      <c r="G18" s="17" t="n">
        <f aca="false">F18/AVERAGE(F13:F17)</f>
        <v>0.884057971014493</v>
      </c>
      <c r="H18" s="7" t="str">
        <f aca="false">IF(F18/AVERAGE(F13:F17)&gt;=1.5,"Yes","No")</f>
        <v>No</v>
      </c>
    </row>
    <row r="24" customFormat="false" ht="15" hidden="false" customHeight="false" outlineLevel="0" collapsed="false">
      <c r="A24" s="15" t="s">
        <v>38</v>
      </c>
    </row>
    <row r="25" customFormat="false" ht="15" hidden="false" customHeight="false" outlineLevel="0" collapsed="false">
      <c r="A25" s="7" t="n">
        <v>1</v>
      </c>
      <c r="B25" s="7" t="s">
        <v>39</v>
      </c>
    </row>
    <row r="26" customFormat="false" ht="15" hidden="false" customHeight="false" outlineLevel="0" collapsed="false">
      <c r="A26" s="7" t="n">
        <v>2</v>
      </c>
      <c r="B26" s="7" t="s">
        <v>40</v>
      </c>
    </row>
    <row r="27" customFormat="false" ht="15" hidden="false" customHeight="false" outlineLevel="0" collapsed="false">
      <c r="A27" s="7" t="n">
        <v>3</v>
      </c>
      <c r="B27" s="7" t="s">
        <v>40</v>
      </c>
    </row>
    <row r="28" customFormat="false" ht="15" hidden="false" customHeight="false" outlineLevel="0" collapsed="false">
      <c r="A28" s="7" t="n">
        <v>4</v>
      </c>
      <c r="B28" s="7" t="s">
        <v>41</v>
      </c>
    </row>
    <row r="29" customFormat="false" ht="15" hidden="false" customHeight="false" outlineLevel="0" collapsed="false">
      <c r="A29" s="7" t="n">
        <v>5</v>
      </c>
      <c r="B29" s="7"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2026-10-11T13:43:10Z</dcterms:created>
  <dc:creator>openpyxl</dc:creator>
  <dc:description/>
  <dc:language>en-US</dc:language>
  <cp:lastModifiedBy/>
  <dcterms:modified xsi:type="dcterms:W3CDTF">2026-10-11T13:43:37Z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