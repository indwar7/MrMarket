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Char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<sst xmlns="http://schemas.openxmlformats.org/spreadsheetml/2006/main" count="56" uniqueCount="41">
  <si>
    <t xml:space="preserve">Practice: Gaps in Stock Charts</t>
  </si>
  <si>
    <t xml:space="preserve">Basics of Candlesticks course · Illustrative practice data (prices in AED)</t>
  </si>
  <si>
    <t xml:space="preserve">Your task</t>
  </si>
  <si>
    <t xml:space="preserve">1. For each day, calculate the gap: Open minus the previous Close</t>
  </si>
  <si>
    <t xml:space="preserve">2. Classify it: Gap up, Gap down or No gap</t>
  </si>
  <si>
    <t xml:space="preserve">3. Find the gap days on the Chart tab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</si>
  <si>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</si>
  <si>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</si>
  <si>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</si>
  <si>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</si>
  <si>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Find the Gaps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</si>
  <si>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</si>
  <si>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</si>
  <si>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</si>
  <si>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</si>
  <si>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</si>
  <si>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</si>
  <si>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Gap (Open − prev Close)</t>
  </si>
  <si>
    <t xml:space="preserve">Check</t>
  </si>
  <si>
    <t xml:space="preserve">Gap type</t>
  </si>
  <si>
    <t xml:space="preserve">n/a</t>
  </si>
  <si>
    <t xml:space="preserve">Day 1 has no previous close, so it's marked n/a. A gap of 0.20 or more counts.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</si>
  <si>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</si>
  <si>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</si>
  <si>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</si>
  <si>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</si>
  <si>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</si>
  <si>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</si>
  <si>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Yesterday a stock closed at 20.00. Today it opens at 20.60. What happened?  A) A gap down of 0.60   B) A gap up of 0.60   C) No gap   D) A gap up of 20.60</t>
  </si>
  <si>
    <t xml:space="preserve">A gap up opens above the previous close.</t>
  </si>
  <si>
    <t xml:space="preserve">Gaps are common in stocks because of overnight news.</t>
  </si>
  <si>
    <t xml:space="preserve">Gaps never fill.</t>
  </si>
  <si>
    <t xml:space="preserve">A gap can add conviction to a pattern.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</si>
  <si>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</si>
  <si>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</si>
  <si>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</si>
  <si>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</si>
  <si>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</si>
  <si>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B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</si>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</sst>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DEDED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Practice!$B$5:$B$16</c:f>
              <c:numCache>
                <c:formatCode>0.00</c:formatCode>
                <c:ptCount val="12"/>
                <c:pt idx="0">
                  <c:v>20</c:v>
                </c:pt>
                <c:pt idx="1">
                  <c:v>20.18</c:v>
                </c:pt>
                <c:pt idx="2">
                  <c:v>21.02</c:v>
                </c:pt>
                <c:pt idx="3">
                  <c:v>21.34</c:v>
                </c:pt>
                <c:pt idx="4">
                  <c:v>21.84</c:v>
                </c:pt>
                <c:pt idx="5">
                  <c:v>22.12</c:v>
                </c:pt>
                <c:pt idx="6">
                  <c:v>21.92</c:v>
                </c:pt>
                <c:pt idx="7">
                  <c:v>20.95</c:v>
                </c:pt>
                <c:pt idx="8">
                  <c:v>20.63</c:v>
                </c:pt>
                <c:pt idx="9">
                  <c:v>20.23</c:v>
                </c:pt>
                <c:pt idx="10">
                  <c:v>19.94</c:v>
                </c:pt>
                <c:pt idx="11">
                  <c:v>20.55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Practice!$C$5:$C$16</c:f>
              <c:numCache>
                <c:formatCode>0.00</c:formatCode>
                <c:ptCount val="12"/>
                <c:pt idx="0">
                  <c:v>20.23</c:v>
                </c:pt>
                <c:pt idx="1">
                  <c:v>20.68</c:v>
                </c:pt>
                <c:pt idx="2">
                  <c:v>21.44</c:v>
                </c:pt>
                <c:pt idx="3">
                  <c:v>22</c:v>
                </c:pt>
                <c:pt idx="4">
                  <c:v>22.19</c:v>
                </c:pt>
                <c:pt idx="5">
                  <c:v>22.25</c:v>
                </c:pt>
                <c:pt idx="6">
                  <c:v>22.05</c:v>
                </c:pt>
                <c:pt idx="7">
                  <c:v>21.01</c:v>
                </c:pt>
                <c:pt idx="8">
                  <c:v>20.69</c:v>
                </c:pt>
                <c:pt idx="9">
                  <c:v>20.33</c:v>
                </c:pt>
                <c:pt idx="10">
                  <c:v>20.67</c:v>
                </c:pt>
                <c:pt idx="11">
                  <c:v>20.92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Practice!$D$5:$D$16</c:f>
              <c:numCache>
                <c:formatCode>0.00</c:formatCode>
                <c:ptCount val="12"/>
                <c:pt idx="0">
                  <c:v>19.91</c:v>
                </c:pt>
                <c:pt idx="1">
                  <c:v>20.11</c:v>
                </c:pt>
                <c:pt idx="2">
                  <c:v>20.96</c:v>
                </c:pt>
                <c:pt idx="3">
                  <c:v>21.17</c:v>
                </c:pt>
                <c:pt idx="4">
                  <c:v>21.77</c:v>
                </c:pt>
                <c:pt idx="5">
                  <c:v>21.82</c:v>
                </c:pt>
                <c:pt idx="6">
                  <c:v>21.24</c:v>
                </c:pt>
                <c:pt idx="7">
                  <c:v>20.53</c:v>
                </c:pt>
                <c:pt idx="8">
                  <c:v>20.1</c:v>
                </c:pt>
                <c:pt idx="9">
                  <c:v>19.88</c:v>
                </c:pt>
                <c:pt idx="10">
                  <c:v>19.81</c:v>
                </c:pt>
                <c:pt idx="11">
                  <c:v>20.43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Practice!$E$5:$E$16</c:f>
              <c:numCache>
                <c:formatCode>0.00</c:formatCode>
                <c:ptCount val="12"/>
                <c:pt idx="0">
                  <c:v>20.18</c:v>
                </c:pt>
                <c:pt idx="1">
                  <c:v>20.62</c:v>
                </c:pt>
                <c:pt idx="2">
                  <c:v>21.34</c:v>
                </c:pt>
                <c:pt idx="3">
                  <c:v>21.84</c:v>
                </c:pt>
                <c:pt idx="4">
                  <c:v>22.12</c:v>
                </c:pt>
                <c:pt idx="5">
                  <c:v>21.92</c:v>
                </c:pt>
                <c:pt idx="6">
                  <c:v>21.35</c:v>
                </c:pt>
                <c:pt idx="7">
                  <c:v>20.63</c:v>
                </c:pt>
                <c:pt idx="8">
                  <c:v>20.23</c:v>
                </c:pt>
                <c:pt idx="9">
                  <c:v>19.94</c:v>
                </c:pt>
                <c:pt idx="10">
                  <c:v>20.55</c:v>
                </c:pt>
                <c:pt idx="11">
                  <c:v>20.83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19120612"/>
        <c:axId val="9431081"/>
      </c:stockChart>
      <c:catAx>
        <c:axId val="191206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1081"/>
        <c:crosses val="autoZero"/>
        <c:auto val="1"/>
        <c:lblAlgn val="ctr"/>
        <c:lblOffset val="100"/>
        <c:noMultiLvlLbl val="0"/>
      </c:catAx>
      <c:valAx>
        <c:axId val="9431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206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20.7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9" t="s">
        <v>20</v>
      </c>
      <c r="G5" s="7"/>
      <c r="H5" s="9" t="s">
        <v>20</v>
      </c>
      <c r="I5" s="7"/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20.68</v>
      </c>
      <c r="D6" s="8" t="n">
        <v>20.11</v>
      </c>
      <c r="E6" s="8" t="n">
        <v>20.62</v>
      </c>
      <c r="F6" s="10"/>
      <c r="G6" s="11" t="str">
        <f aca="false">IF(F6="","",IF(ROUND(F6,2)=ROUND('Answer Key'!F6,2),"✓","Try again"))</f>
        <v/>
      </c>
      <c r="H6" s="12"/>
      <c r="I6" s="11" t="str">
        <f aca="false">IF(H6="","",IF(H6='Answer Key'!G6,"✓","Try again"))</f>
        <v/>
      </c>
    </row>
    <row r="7" customFormat="false" ht="15" hidden="false" customHeight="false" outlineLevel="0" collapsed="false">
      <c r="A7" s="7" t="n">
        <v>3</v>
      </c>
      <c r="B7" s="8" t="n">
        <v>21.02</v>
      </c>
      <c r="C7" s="8" t="n">
        <v>21.44</v>
      </c>
      <c r="D7" s="8" t="n">
        <v>20.96</v>
      </c>
      <c r="E7" s="8" t="n">
        <v>21.34</v>
      </c>
      <c r="F7" s="10"/>
      <c r="G7" s="11" t="str">
        <f aca="false">IF(F7="","",IF(ROUND(F7,2)=ROUND('Answer Key'!F7,2),"✓","Try again"))</f>
        <v/>
      </c>
      <c r="H7" s="12"/>
      <c r="I7" s="11" t="str">
        <f aca="false">IF(H7="","",IF(H7='Answer Key'!G7,"✓","Try again"))</f>
        <v/>
      </c>
    </row>
    <row r="8" customFormat="false" ht="15" hidden="false" customHeight="false" outlineLevel="0" collapsed="false">
      <c r="A8" s="7" t="n">
        <v>4</v>
      </c>
      <c r="B8" s="8" t="n">
        <v>21.34</v>
      </c>
      <c r="C8" s="8" t="n">
        <v>22</v>
      </c>
      <c r="D8" s="8" t="n">
        <v>21.17</v>
      </c>
      <c r="E8" s="8" t="n">
        <v>21.84</v>
      </c>
      <c r="F8" s="10"/>
      <c r="G8" s="11" t="str">
        <f aca="false">IF(F8="","",IF(ROUND(F8,2)=ROUND('Answer Key'!F8,2),"✓","Try again"))</f>
        <v/>
      </c>
      <c r="H8" s="12"/>
      <c r="I8" s="11" t="str">
        <f aca="false">IF(H8="","",IF(H8='Answer Key'!G8,"✓","Try again"))</f>
        <v/>
      </c>
    </row>
    <row r="9" customFormat="false" ht="15" hidden="false" customHeight="false" outlineLevel="0" collapsed="false">
      <c r="A9" s="7" t="n">
        <v>5</v>
      </c>
      <c r="B9" s="8" t="n">
        <v>21.84</v>
      </c>
      <c r="C9" s="8" t="n">
        <v>22.19</v>
      </c>
      <c r="D9" s="8" t="n">
        <v>21.77</v>
      </c>
      <c r="E9" s="8" t="n">
        <v>22.12</v>
      </c>
      <c r="F9" s="10"/>
      <c r="G9" s="11" t="str">
        <f aca="false">IF(F9="","",IF(ROUND(F9,2)=ROUND('Answer Key'!F9,2),"✓","Try again"))</f>
        <v/>
      </c>
      <c r="H9" s="12"/>
      <c r="I9" s="11" t="str">
        <f aca="false">IF(H9="","",IF(H9='Answer Key'!G9,"✓","Try again"))</f>
        <v/>
      </c>
    </row>
    <row r="10" customFormat="false" ht="15" hidden="false" customHeight="false" outlineLevel="0" collapsed="false">
      <c r="A10" s="7" t="n">
        <v>6</v>
      </c>
      <c r="B10" s="8" t="n">
        <v>22.12</v>
      </c>
      <c r="C10" s="8" t="n">
        <v>22.25</v>
      </c>
      <c r="D10" s="8" t="n">
        <v>21.82</v>
      </c>
      <c r="E10" s="8" t="n">
        <v>21.92</v>
      </c>
      <c r="F10" s="10"/>
      <c r="G10" s="11" t="str">
        <f aca="false">IF(F10="","",IF(ROUND(F10,2)=ROUND('Answer Key'!F10,2),"✓","Try again"))</f>
        <v/>
      </c>
      <c r="H10" s="12"/>
      <c r="I10" s="11" t="str">
        <f aca="false">IF(H10="","",IF(H10='Answer Key'!G10,"✓","Try again"))</f>
        <v/>
      </c>
    </row>
    <row r="11" customFormat="false" ht="15" hidden="false" customHeight="false" outlineLevel="0" collapsed="false">
      <c r="A11" s="7" t="n">
        <v>7</v>
      </c>
      <c r="B11" s="8" t="n">
        <v>21.92</v>
      </c>
      <c r="C11" s="8" t="n">
        <v>22.05</v>
      </c>
      <c r="D11" s="8" t="n">
        <v>21.24</v>
      </c>
      <c r="E11" s="8" t="n">
        <v>21.35</v>
      </c>
      <c r="F11" s="10"/>
      <c r="G11" s="11" t="str">
        <f aca="false">IF(F11="","",IF(ROUND(F11,2)=ROUND('Answer Key'!F11,2),"✓","Try again"))</f>
        <v/>
      </c>
      <c r="H11" s="12"/>
      <c r="I11" s="11" t="str">
        <f aca="false">IF(H11="","",IF(H11='Answer Key'!G11,"✓","Try again"))</f>
        <v/>
      </c>
    </row>
    <row r="12" customFormat="false" ht="15" hidden="false" customHeight="false" outlineLevel="0" collapsed="false">
      <c r="A12" s="7" t="n">
        <v>8</v>
      </c>
      <c r="B12" s="8" t="n">
        <v>20.95</v>
      </c>
      <c r="C12" s="8" t="n">
        <v>21.01</v>
      </c>
      <c r="D12" s="8" t="n">
        <v>20.53</v>
      </c>
      <c r="E12" s="8" t="n">
        <v>20.63</v>
      </c>
      <c r="F12" s="10"/>
      <c r="G12" s="11" t="str">
        <f aca="false">IF(F12="","",IF(ROUND(F12,2)=ROUND('Answer Key'!F12,2),"✓","Try again"))</f>
        <v/>
      </c>
      <c r="H12" s="12"/>
      <c r="I12" s="11" t="str">
        <f aca="false">IF(H12="","",IF(H12='Answer Key'!G12,"✓","Try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20.63</v>
      </c>
      <c r="C13" s="8" t="n">
        <v>20.69</v>
      </c>
      <c r="D13" s="8" t="n">
        <v>20.1</v>
      </c>
      <c r="E13" s="8" t="n">
        <v>20.23</v>
      </c>
      <c r="F13" s="10"/>
      <c r="G13" s="11" t="str">
        <f aca="false">IF(F13="","",IF(ROUND(F13,2)=ROUND('Answer Key'!F13,2),"✓","Try again"))</f>
        <v/>
      </c>
      <c r="H13" s="12"/>
      <c r="I13" s="11" t="str">
        <f aca="false">IF(H13="","",IF(H13='Answer Key'!G13,"✓","Try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20.23</v>
      </c>
      <c r="C14" s="8" t="n">
        <v>20.33</v>
      </c>
      <c r="D14" s="8" t="n">
        <v>19.88</v>
      </c>
      <c r="E14" s="8" t="n">
        <v>19.94</v>
      </c>
      <c r="F14" s="10"/>
      <c r="G14" s="11" t="str">
        <f aca="false">IF(F14="","",IF(ROUND(F14,2)=ROUND('Answer Key'!F14,2),"✓","Try again"))</f>
        <v/>
      </c>
      <c r="H14" s="12"/>
      <c r="I14" s="11" t="str">
        <f aca="false">IF(H14="","",IF(H14='Answer Key'!G14,"✓","Try again"))</f>
        <v/>
      </c>
    </row>
    <row r="15" customFormat="false" ht="15" hidden="false" customHeight="false" outlineLevel="0" collapsed="false">
      <c r="A15" s="7" t="n">
        <v>11</v>
      </c>
      <c r="B15" s="8" t="n">
        <v>19.94</v>
      </c>
      <c r="C15" s="8" t="n">
        <v>20.67</v>
      </c>
      <c r="D15" s="8" t="n">
        <v>19.81</v>
      </c>
      <c r="E15" s="8" t="n">
        <v>20.55</v>
      </c>
      <c r="F15" s="10"/>
      <c r="G15" s="11" t="str">
        <f aca="false">IF(F15="","",IF(ROUND(F15,2)=ROUND('Answer Key'!F15,2),"✓","Try again"))</f>
        <v/>
      </c>
      <c r="H15" s="12"/>
      <c r="I15" s="11" t="str">
        <f aca="false">IF(H15="","",IF(H15='Answer Key'!G15,"✓","Try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20.55</v>
      </c>
      <c r="C16" s="8" t="n">
        <v>20.92</v>
      </c>
      <c r="D16" s="8" t="n">
        <v>20.43</v>
      </c>
      <c r="E16" s="8" t="n">
        <v>20.83</v>
      </c>
      <c r="F16" s="10"/>
      <c r="G16" s="11" t="str">
        <f aca="false">IF(F16="","",IF(ROUND(F16,2)=ROUND('Answer Key'!F16,2),"✓","Try again"))</f>
        <v/>
      </c>
      <c r="H16" s="12"/>
      <c r="I16" s="11" t="str">
        <f aca="false">IF(H16="","",IF(H16='Answer Key'!G16,"✓","Try again"))</f>
        <v/>
      </c>
    </row>
    <row r="20" customFormat="false" ht="15" hidden="false" customHeight="false" outlineLevel="0" collapsed="false">
      <c r="A20" s="2" t="s">
        <v>21</v>
      </c>
    </row>
    <row r="22" customFormat="false" ht="15" hidden="false" customHeight="false" outlineLevel="0" collapsed="false">
      <c r="A22" s="13" t="s">
        <v>22</v>
      </c>
      <c r="B22" s="14" t="str">
        <f aca="false">(COUNTIF(G5:G16,"✓")+COUNTIF(I5:I16,"✓"))&amp;" / 22 correct"</f>
        <v>0 / 22 correct</v>
      </c>
    </row>
  </sheetData>
  <dataValidations count="1">
    <dataValidation allowBlank="true" errorStyle="stop" operator="between" showDropDown="false" showErrorMessage="false" showInputMessage="false" sqref="H6:H16" type="list">
      <formula1>"Gap up,Gap down,No gap"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23</v>
      </c>
    </row>
    <row r="2" customFormat="false" ht="15" hidden="false" customHeight="false" outlineLevel="0" collapsed="false">
      <c r="A2" s="2" t="s">
        <v>24</v>
      </c>
    </row>
    <row r="4" customFormat="false" ht="33.75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18</v>
      </c>
    </row>
    <row r="5" customFormat="false" ht="48" hidden="false" customHeight="true" outlineLevel="0" collapsed="false">
      <c r="A5" s="7" t="n">
        <v>1</v>
      </c>
      <c r="B5" s="15" t="s">
        <v>28</v>
      </c>
      <c r="C5" s="12"/>
      <c r="D5" s="11" t="str">
        <f aca="false">IF(C5="","",IF(C5='Answer Key'!B23,"✓","Try again"))</f>
        <v/>
      </c>
    </row>
    <row r="6" customFormat="false" ht="21.75" hidden="false" customHeight="true" outlineLevel="0" collapsed="false">
      <c r="A6" s="7" t="n">
        <v>2</v>
      </c>
      <c r="B6" s="15" t="s">
        <v>29</v>
      </c>
      <c r="C6" s="12"/>
      <c r="D6" s="11" t="str">
        <f aca="false">IF(C6="","",IF(C6='Answer Key'!B24,"✓","Try again"))</f>
        <v/>
      </c>
    </row>
    <row r="7" customFormat="false" ht="21.75" hidden="false" customHeight="true" outlineLevel="0" collapsed="false">
      <c r="A7" s="7" t="n">
        <v>3</v>
      </c>
      <c r="B7" s="15" t="s">
        <v>30</v>
      </c>
      <c r="C7" s="12"/>
      <c r="D7" s="11" t="str">
        <f aca="false">IF(C7="","",IF(C7='Answer Key'!B25,"✓","Try again"))</f>
        <v/>
      </c>
    </row>
    <row r="8" customFormat="false" ht="21.75" hidden="false" customHeight="true" outlineLevel="0" collapsed="false">
      <c r="A8" s="7" t="n">
        <v>4</v>
      </c>
      <c r="B8" s="15" t="s">
        <v>31</v>
      </c>
      <c r="C8" s="12"/>
      <c r="D8" s="11" t="str">
        <f aca="false">IF(C8="","",IF(C8='Answer Key'!B26,"✓","Try again"))</f>
        <v/>
      </c>
    </row>
    <row r="9" customFormat="false" ht="21.75" hidden="false" customHeight="true" outlineLevel="0" collapsed="false">
      <c r="A9" s="7" t="n">
        <v>5</v>
      </c>
      <c r="B9" s="15" t="s">
        <v>32</v>
      </c>
      <c r="C9" s="12"/>
      <c r="D9" s="11" t="str">
        <f aca="false">IF(C9="","",IF(C9='Answer Key'!B27,"✓","Try again"))</f>
        <v/>
      </c>
    </row>
    <row r="11" customFormat="false" ht="15" hidden="false" customHeight="false" outlineLevel="0" collapsed="false">
      <c r="A11" s="13" t="s">
        <v>22</v>
      </c>
      <c r="B11" s="14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20.7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5" t="s">
        <v>35</v>
      </c>
    </row>
    <row r="2" customFormat="false" ht="15" hidden="false" customHeight="false" outlineLevel="0" collapsed="false">
      <c r="A2" s="2" t="s">
        <v>36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20.23</v>
      </c>
      <c r="D5" s="8" t="n">
        <v>19.91</v>
      </c>
      <c r="E5" s="8" t="n">
        <v>20.18</v>
      </c>
      <c r="F5" s="7" t="s">
        <v>20</v>
      </c>
      <c r="G5" s="7" t="s">
        <v>20</v>
      </c>
    </row>
    <row r="6" customFormat="false" ht="15" hidden="false" customHeight="false" outlineLevel="0" collapsed="false">
      <c r="A6" s="7" t="n">
        <v>2</v>
      </c>
      <c r="B6" s="8" t="n">
        <v>20.18</v>
      </c>
      <c r="C6" s="8" t="n">
        <v>20.68</v>
      </c>
      <c r="D6" s="8" t="n">
        <v>20.11</v>
      </c>
      <c r="E6" s="8" t="n">
        <v>20.62</v>
      </c>
      <c r="F6" s="16" t="n">
        <f aca="false">B6-E5</f>
        <v>0</v>
      </c>
      <c r="G6" s="7" t="str">
        <f aca="false">IF(B6-E5&gt;=0.2,"Gap up",IF(B6-E5&lt;=-0.2,"Gap down","No gap"))</f>
        <v>No gap</v>
      </c>
    </row>
    <row r="7" customFormat="false" ht="15" hidden="false" customHeight="false" outlineLevel="0" collapsed="false">
      <c r="A7" s="7" t="n">
        <v>3</v>
      </c>
      <c r="B7" s="8" t="n">
        <v>21.02</v>
      </c>
      <c r="C7" s="8" t="n">
        <v>21.44</v>
      </c>
      <c r="D7" s="8" t="n">
        <v>20.96</v>
      </c>
      <c r="E7" s="8" t="n">
        <v>21.34</v>
      </c>
      <c r="F7" s="16" t="n">
        <f aca="false">B7-E6</f>
        <v>0.399999999999999</v>
      </c>
      <c r="G7" s="7" t="str">
        <f aca="false">IF(B7-E6&gt;=0.2,"Gap up",IF(B7-E6&lt;=-0.2,"Gap down","No gap"))</f>
        <v>Gap up</v>
      </c>
    </row>
    <row r="8" customFormat="false" ht="15" hidden="false" customHeight="false" outlineLevel="0" collapsed="false">
      <c r="A8" s="7" t="n">
        <v>4</v>
      </c>
      <c r="B8" s="8" t="n">
        <v>21.34</v>
      </c>
      <c r="C8" s="8" t="n">
        <v>22</v>
      </c>
      <c r="D8" s="8" t="n">
        <v>21.17</v>
      </c>
      <c r="E8" s="8" t="n">
        <v>21.84</v>
      </c>
      <c r="F8" s="16" t="n">
        <f aca="false">B8-E7</f>
        <v>0</v>
      </c>
      <c r="G8" s="7" t="str">
        <f aca="false">IF(B8-E7&gt;=0.2,"Gap up",IF(B8-E7&lt;=-0.2,"Gap down","No gap"))</f>
        <v>No gap</v>
      </c>
    </row>
    <row r="9" customFormat="false" ht="15" hidden="false" customHeight="false" outlineLevel="0" collapsed="false">
      <c r="A9" s="7" t="n">
        <v>5</v>
      </c>
      <c r="B9" s="8" t="n">
        <v>21.84</v>
      </c>
      <c r="C9" s="8" t="n">
        <v>22.19</v>
      </c>
      <c r="D9" s="8" t="n">
        <v>21.77</v>
      </c>
      <c r="E9" s="8" t="n">
        <v>22.12</v>
      </c>
      <c r="F9" s="16" t="n">
        <f aca="false">B9-E8</f>
        <v>0</v>
      </c>
      <c r="G9" s="7" t="str">
        <f aca="false">IF(B9-E8&gt;=0.2,"Gap up",IF(B9-E8&lt;=-0.2,"Gap down","No gap"))</f>
        <v>No gap</v>
      </c>
    </row>
    <row r="10" customFormat="false" ht="15" hidden="false" customHeight="false" outlineLevel="0" collapsed="false">
      <c r="A10" s="7" t="n">
        <v>6</v>
      </c>
      <c r="B10" s="8" t="n">
        <v>22.12</v>
      </c>
      <c r="C10" s="8" t="n">
        <v>22.25</v>
      </c>
      <c r="D10" s="8" t="n">
        <v>21.82</v>
      </c>
      <c r="E10" s="8" t="n">
        <v>21.92</v>
      </c>
      <c r="F10" s="16" t="n">
        <f aca="false">B10-E9</f>
        <v>0</v>
      </c>
      <c r="G10" s="7" t="str">
        <f aca="false">IF(B10-E9&gt;=0.2,"Gap up",IF(B10-E9&lt;=-0.2,"Gap down","No gap"))</f>
        <v>No gap</v>
      </c>
    </row>
    <row r="11" customFormat="false" ht="15" hidden="false" customHeight="false" outlineLevel="0" collapsed="false">
      <c r="A11" s="7" t="n">
        <v>7</v>
      </c>
      <c r="B11" s="8" t="n">
        <v>21.92</v>
      </c>
      <c r="C11" s="8" t="n">
        <v>22.05</v>
      </c>
      <c r="D11" s="8" t="n">
        <v>21.24</v>
      </c>
      <c r="E11" s="8" t="n">
        <v>21.35</v>
      </c>
      <c r="F11" s="16" t="n">
        <f aca="false">B11-E10</f>
        <v>0</v>
      </c>
      <c r="G11" s="7" t="str">
        <f aca="false">IF(B11-E10&gt;=0.2,"Gap up",IF(B11-E10&lt;=-0.2,"Gap down","No gap"))</f>
        <v>No gap</v>
      </c>
    </row>
    <row r="12" customFormat="false" ht="15" hidden="false" customHeight="false" outlineLevel="0" collapsed="false">
      <c r="A12" s="7" t="n">
        <v>8</v>
      </c>
      <c r="B12" s="8" t="n">
        <v>20.95</v>
      </c>
      <c r="C12" s="8" t="n">
        <v>21.01</v>
      </c>
      <c r="D12" s="8" t="n">
        <v>20.53</v>
      </c>
      <c r="E12" s="8" t="n">
        <v>20.63</v>
      </c>
      <c r="F12" s="16" t="n">
        <f aca="false">B12-E11</f>
        <v>-0.400000000000002</v>
      </c>
      <c r="G12" s="7" t="str">
        <f aca="false">IF(B12-E11&gt;=0.2,"Gap up",IF(B12-E11&lt;=-0.2,"Gap down","No gap"))</f>
        <v>Gap down</v>
      </c>
    </row>
    <row r="13" customFormat="false" ht="15" hidden="false" customHeight="false" outlineLevel="0" collapsed="false">
      <c r="A13" s="7" t="n">
        <v>9</v>
      </c>
      <c r="B13" s="8" t="n">
        <v>20.63</v>
      </c>
      <c r="C13" s="8" t="n">
        <v>20.69</v>
      </c>
      <c r="D13" s="8" t="n">
        <v>20.1</v>
      </c>
      <c r="E13" s="8" t="n">
        <v>20.23</v>
      </c>
      <c r="F13" s="16" t="n">
        <f aca="false">B13-E12</f>
        <v>0</v>
      </c>
      <c r="G13" s="7" t="str">
        <f aca="false">IF(B13-E12&gt;=0.2,"Gap up",IF(B13-E12&lt;=-0.2,"Gap down","No gap"))</f>
        <v>No gap</v>
      </c>
    </row>
    <row r="14" customFormat="false" ht="15" hidden="false" customHeight="false" outlineLevel="0" collapsed="false">
      <c r="A14" s="7" t="n">
        <v>10</v>
      </c>
      <c r="B14" s="8" t="n">
        <v>20.23</v>
      </c>
      <c r="C14" s="8" t="n">
        <v>20.33</v>
      </c>
      <c r="D14" s="8" t="n">
        <v>19.88</v>
      </c>
      <c r="E14" s="8" t="n">
        <v>19.94</v>
      </c>
      <c r="F14" s="16" t="n">
        <f aca="false">B14-E13</f>
        <v>0</v>
      </c>
      <c r="G14" s="7" t="str">
        <f aca="false">IF(B14-E13&gt;=0.2,"Gap up",IF(B14-E13&lt;=-0.2,"Gap down","No gap"))</f>
        <v>No gap</v>
      </c>
    </row>
    <row r="15" customFormat="false" ht="15" hidden="false" customHeight="false" outlineLevel="0" collapsed="false">
      <c r="A15" s="7" t="n">
        <v>11</v>
      </c>
      <c r="B15" s="8" t="n">
        <v>19.94</v>
      </c>
      <c r="C15" s="8" t="n">
        <v>20.67</v>
      </c>
      <c r="D15" s="8" t="n">
        <v>19.81</v>
      </c>
      <c r="E15" s="8" t="n">
        <v>20.55</v>
      </c>
      <c r="F15" s="16" t="n">
        <f aca="false">B15-E14</f>
        <v>0</v>
      </c>
      <c r="G15" s="7" t="str">
        <f aca="false">IF(B15-E14&gt;=0.2,"Gap up",IF(B15-E14&lt;=-0.2,"Gap down","No gap"))</f>
        <v>No gap</v>
      </c>
    </row>
    <row r="16" customFormat="false" ht="15" hidden="false" customHeight="false" outlineLevel="0" collapsed="false">
      <c r="A16" s="7" t="n">
        <v>12</v>
      </c>
      <c r="B16" s="8" t="n">
        <v>20.55</v>
      </c>
      <c r="C16" s="8" t="n">
        <v>20.92</v>
      </c>
      <c r="D16" s="8" t="n">
        <v>20.43</v>
      </c>
      <c r="E16" s="8" t="n">
        <v>20.83</v>
      </c>
      <c r="F16" s="16" t="n">
        <f aca="false">B16-E15</f>
        <v>0</v>
      </c>
      <c r="G16" s="7" t="str">
        <f aca="false">IF(B16-E15&gt;=0.2,"Gap up",IF(B16-E15&lt;=-0.2,"Gap down","No gap"))</f>
        <v>No gap</v>
      </c>
    </row>
    <row r="22" customFormat="false" ht="15" hidden="false" customHeight="false" outlineLevel="0" collapsed="false">
      <c r="A22" s="14" t="s">
        <v>37</v>
      </c>
    </row>
    <row r="23" customFormat="false" ht="15" hidden="false" customHeight="false" outlineLevel="0" collapsed="false">
      <c r="A23" s="7" t="n">
        <v>1</v>
      </c>
      <c r="B23" s="7" t="s">
        <v>38</v>
      </c>
    </row>
    <row r="24" customFormat="false" ht="15" hidden="false" customHeight="false" outlineLevel="0" collapsed="false">
      <c r="A24" s="7" t="n">
        <v>2</v>
      </c>
      <c r="B24" s="7" t="s">
        <v>39</v>
      </c>
    </row>
    <row r="25" customFormat="false" ht="15" hidden="false" customHeight="false" outlineLevel="0" collapsed="false">
      <c r="A25" s="7" t="n">
        <v>3</v>
      </c>
      <c r="B25" s="7" t="s">
        <v>39</v>
      </c>
    </row>
    <row r="26" customFormat="false" ht="15" hidden="false" customHeight="false" outlineLevel="0" collapsed="false">
      <c r="A26" s="7" t="n">
        <v>4</v>
      </c>
      <c r="B26" s="7" t="s">
        <v>40</v>
      </c>
    </row>
    <row r="27" customFormat="false" ht="15" hidden="false" customHeight="false" outlineLevel="0" collapsed="false">
      <c r="A27" s="7" t="n">
        <v>5</v>
      </c>
      <c r="B27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