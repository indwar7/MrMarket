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<sst xmlns="http://schemas.openxmlformats.org/spreadsheetml/2006/main" count="59" uniqueCount="41">
  <si>
    <t xml:space="preserve">Practice: Stop-Loss Placement</t>
  </si>
  <si>
    <t xml:space="preserve">Basics of Candlesticks course · Illustrative practice data (prices in AED)</t>
  </si>
  <si>
    <t xml:space="preserve">Your task</t>
  </si>
  <si>
    <t xml:space="preserve">1. Read each setup's entry, pattern low and buffer</t>
  </si>
  <si>
    <t xml:space="preserve">2. Calculate the stop-loss and the risk per share</t>
  </si>
  <si>
    <t xml:space="preserve">3. Check your answers instantly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</si>
  <si>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</si>
  <si>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</si>
  <si>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</si>
  <si>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</si>
  <si>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Place the Stop</t>
  </si>
  <si>
    <t xml:space="preserve">Fill in the yellow cells. Check columns update automatically.</t>
  </si>
  <si>
    <t xml:space="preserve">Setup</t>
  </si>
  <si>
    <t xml:space="preserve">Entry</t>
  </si>
  <si>
    <t xml:space="preserve">Pattern low</t>
  </si>
  <si>
    <t xml:space="preserve">Buffer (AED)</t>
  </si>
  <si>
    <t xml:space="preserve">Stop-loss</t>
  </si>
  <si>
    <t xml:space="preserve">Check</t>
  </si>
  <si>
    <t xml:space="preserve">Risk per share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</si>
  <si>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</si>
  <si>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</si>
  <si>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</si>
  <si>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</si>
  <si>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</si>
  <si>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</si>
  <si>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</si>
  <si>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</si>
  <si>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</si>
  <si>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</si>
  <si>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</si>
  <si>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</si>
  <si>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You enter after a hammer with a low of 19.80. Where is a sensible stop-loss?  A) 19.75, just below the low   B) 19.95, inside the wick   C) 20.50, above the entry   D) No stop is needed</t>
  </si>
  <si>
    <t xml:space="preserve">A stop-loss should be where your idea is proven wrong.</t>
  </si>
  <si>
    <t xml:space="preserve">For a bullish pattern, the stop goes above the high.</t>
  </si>
  <si>
    <t xml:space="preserve">Risk per share = entry − stop.</t>
  </si>
  <si>
    <t xml:space="preserve">Position size can be based on your risk per trade.</t>
  </si>
  <si>
    <t xml:space="preserve">Answer Key</t>
  </si>
  <si>
    <t xml:space="preserve">Worked answers for the Practice and Quiz tabs.</t>
  </si>
  <si>
    <t xml:space="preserve">Quiz answers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</si>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</sst>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4D8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17</v>
      </c>
    </row>
    <row r="5" customFormat="false" ht="15" hidden="false" customHeight="false" outlineLevel="0" collapsed="false">
      <c r="A5" s="7" t="s">
        <v>19</v>
      </c>
      <c r="B5" s="8" t="n">
        <v>20.45</v>
      </c>
      <c r="C5" s="8" t="n">
        <v>19.8</v>
      </c>
      <c r="D5" s="8" t="n">
        <v>0.05</v>
      </c>
      <c r="E5" s="9"/>
      <c r="F5" s="10" t="str">
        <f aca="false">IF(E5="","",IF(ROUND(E5,2)=ROUND('Answer Key'!E5,2),"✓","Try again"))</f>
        <v/>
      </c>
      <c r="G5" s="9"/>
      <c r="H5" s="10" t="str">
        <f aca="false">IF(G5="","",IF(ROUND(G5,2)=ROUND('Answer Key'!F5,2),"✓","Try again"))</f>
        <v/>
      </c>
    </row>
    <row r="6" customFormat="false" ht="15" hidden="false" customHeight="false" outlineLevel="0" collapsed="false">
      <c r="A6" s="7" t="s">
        <v>20</v>
      </c>
      <c r="B6" s="8" t="n">
        <v>15.87</v>
      </c>
      <c r="C6" s="8" t="n">
        <v>15.3</v>
      </c>
      <c r="D6" s="8" t="n">
        <v>0.05</v>
      </c>
      <c r="E6" s="9"/>
      <c r="F6" s="10" t="str">
        <f aca="false">IF(E6="","",IF(ROUND(E6,2)=ROUND('Answer Key'!E6,2),"✓","Try again"))</f>
        <v/>
      </c>
      <c r="G6" s="9"/>
      <c r="H6" s="10" t="str">
        <f aca="false">IF(G6="","",IF(ROUND(G6,2)=ROUND('Answer Key'!F6,2),"✓","Try again"))</f>
        <v/>
      </c>
    </row>
    <row r="7" customFormat="false" ht="15" hidden="false" customHeight="false" outlineLevel="0" collapsed="false">
      <c r="A7" s="7" t="s">
        <v>21</v>
      </c>
      <c r="B7" s="8" t="n">
        <v>8.38</v>
      </c>
      <c r="C7" s="8" t="n">
        <v>8.02</v>
      </c>
      <c r="D7" s="8" t="n">
        <v>0.02</v>
      </c>
      <c r="E7" s="9"/>
      <c r="F7" s="10" t="str">
        <f aca="false">IF(E7="","",IF(ROUND(E7,2)=ROUND('Answer Key'!E7,2),"✓","Try again"))</f>
        <v/>
      </c>
      <c r="G7" s="9"/>
      <c r="H7" s="10" t="str">
        <f aca="false">IF(G7="","",IF(ROUND(G7,2)=ROUND('Answer Key'!F7,2),"✓","Try again"))</f>
        <v/>
      </c>
    </row>
    <row r="8" customFormat="false" ht="15" hidden="false" customHeight="false" outlineLevel="0" collapsed="false">
      <c r="A8" s="7" t="s">
        <v>22</v>
      </c>
      <c r="B8" s="8" t="n">
        <v>31.2</v>
      </c>
      <c r="C8" s="8" t="n">
        <v>30.25</v>
      </c>
      <c r="D8" s="8" t="n">
        <v>0.1</v>
      </c>
      <c r="E8" s="9"/>
      <c r="F8" s="10" t="str">
        <f aca="false">IF(E8="","",IF(ROUND(E8,2)=ROUND('Answer Key'!E8,2),"✓","Try again"))</f>
        <v/>
      </c>
      <c r="G8" s="9"/>
      <c r="H8" s="10" t="str">
        <f aca="false">IF(G8="","",IF(ROUND(G8,2)=ROUND('Answer Key'!F8,2),"✓","Try again"))</f>
        <v/>
      </c>
    </row>
    <row r="9" customFormat="false" ht="15" hidden="false" customHeight="false" outlineLevel="0" collapsed="false">
      <c r="A9" s="7" t="s">
        <v>23</v>
      </c>
      <c r="B9" s="8" t="n">
        <v>12.6</v>
      </c>
      <c r="C9" s="8" t="n">
        <v>12.22</v>
      </c>
      <c r="D9" s="8" t="n">
        <v>0.02</v>
      </c>
      <c r="E9" s="9"/>
      <c r="F9" s="10" t="str">
        <f aca="false">IF(E9="","",IF(ROUND(E9,2)=ROUND('Answer Key'!E9,2),"✓","Try again"))</f>
        <v/>
      </c>
      <c r="G9" s="9"/>
      <c r="H9" s="10" t="str">
        <f aca="false">IF(G9="","",IF(ROUND(G9,2)=ROUND('Answer Key'!F9,2),"✓","Try again"))</f>
        <v/>
      </c>
    </row>
    <row r="10" customFormat="false" ht="15" hidden="false" customHeight="false" outlineLevel="0" collapsed="false">
      <c r="A10" s="7" t="s">
        <v>24</v>
      </c>
      <c r="B10" s="8" t="n">
        <v>5.75</v>
      </c>
      <c r="C10" s="8" t="n">
        <v>5.52</v>
      </c>
      <c r="D10" s="8" t="n">
        <v>0.01</v>
      </c>
      <c r="E10" s="9"/>
      <c r="F10" s="10" t="str">
        <f aca="false">IF(E10="","",IF(ROUND(E10,2)=ROUND('Answer Key'!E10,2),"✓","Try again"))</f>
        <v/>
      </c>
      <c r="G10" s="9"/>
      <c r="H10" s="10" t="str">
        <f aca="false">IF(G10="","",IF(ROUND(G10,2)=ROUND('Answer Key'!F10,2),"✓","Try again"))</f>
        <v/>
      </c>
    </row>
    <row r="12" customFormat="false" ht="15" hidden="false" customHeight="false" outlineLevel="0" collapsed="false">
      <c r="A12" s="11" t="s">
        <v>25</v>
      </c>
      <c r="B12" s="12" t="str">
        <f aca="false">(COUNTIF(F5:F10,"✓")+COUNTIF(H5:H10,"✓"))&amp;" / 12 correct"</f>
        <v>0 / 12 correct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26</v>
      </c>
    </row>
    <row r="2" customFormat="false" ht="15" hidden="false" customHeight="false" outlineLevel="0" collapsed="false">
      <c r="A2" s="2" t="s">
        <v>27</v>
      </c>
    </row>
    <row r="4" customFormat="false" ht="33.75" hidden="false" customHeight="true" outlineLevel="0" collapsed="false">
      <c r="A4" s="6" t="s">
        <v>28</v>
      </c>
      <c r="B4" s="6" t="s">
        <v>29</v>
      </c>
      <c r="C4" s="6" t="s">
        <v>30</v>
      </c>
      <c r="D4" s="6" t="s">
        <v>17</v>
      </c>
    </row>
    <row r="5" customFormat="false" ht="48" hidden="false" customHeight="true" outlineLevel="0" collapsed="false">
      <c r="A5" s="7" t="n">
        <v>1</v>
      </c>
      <c r="B5" s="13" t="s">
        <v>31</v>
      </c>
      <c r="C5" s="14"/>
      <c r="D5" s="10" t="str">
        <f aca="false">IF(C5="","",IF(C5='Answer Key'!B17,"✓","Try again"))</f>
        <v/>
      </c>
    </row>
    <row r="6" customFormat="false" ht="21.75" hidden="false" customHeight="true" outlineLevel="0" collapsed="false">
      <c r="A6" s="7" t="n">
        <v>2</v>
      </c>
      <c r="B6" s="13" t="s">
        <v>32</v>
      </c>
      <c r="C6" s="14"/>
      <c r="D6" s="10" t="str">
        <f aca="false">IF(C6="","",IF(C6='Answer Key'!B18,"✓","Try again"))</f>
        <v/>
      </c>
    </row>
    <row r="7" customFormat="false" ht="21.75" hidden="false" customHeight="true" outlineLevel="0" collapsed="false">
      <c r="A7" s="7" t="n">
        <v>3</v>
      </c>
      <c r="B7" s="13" t="s">
        <v>33</v>
      </c>
      <c r="C7" s="14"/>
      <c r="D7" s="10" t="str">
        <f aca="false">IF(C7="","",IF(C7='Answer Key'!B19,"✓","Try again"))</f>
        <v/>
      </c>
    </row>
    <row r="8" customFormat="false" ht="21.75" hidden="false" customHeight="true" outlineLevel="0" collapsed="false">
      <c r="A8" s="7" t="n">
        <v>4</v>
      </c>
      <c r="B8" s="13" t="s">
        <v>34</v>
      </c>
      <c r="C8" s="14"/>
      <c r="D8" s="10" t="str">
        <f aca="false">IF(C8="","",IF(C8='Answer Key'!B20,"✓","Try again"))</f>
        <v/>
      </c>
    </row>
    <row r="9" customFormat="false" ht="21.75" hidden="false" customHeight="true" outlineLevel="0" collapsed="false">
      <c r="A9" s="7" t="n">
        <v>5</v>
      </c>
      <c r="B9" s="13" t="s">
        <v>35</v>
      </c>
      <c r="C9" s="14"/>
      <c r="D9" s="10" t="str">
        <f aca="false">IF(C9="","",IF(C9='Answer Key'!B21,"✓","Try again"))</f>
        <v/>
      </c>
    </row>
    <row r="11" customFormat="false" ht="15" hidden="false" customHeight="false" outlineLevel="0" collapsed="false">
      <c r="A11" s="11" t="s">
        <v>25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5" t="s">
        <v>36</v>
      </c>
    </row>
    <row r="2" customFormat="false" ht="15" hidden="false" customHeight="false" outlineLevel="0" collapsed="false">
      <c r="A2" s="2" t="s">
        <v>37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18</v>
      </c>
    </row>
    <row r="5" customFormat="false" ht="15" hidden="false" customHeight="false" outlineLevel="0" collapsed="false">
      <c r="A5" s="7" t="s">
        <v>19</v>
      </c>
      <c r="B5" s="15" t="n">
        <v>20.45</v>
      </c>
      <c r="C5" s="15" t="n">
        <v>19.8</v>
      </c>
      <c r="D5" s="15" t="n">
        <v>0.05</v>
      </c>
      <c r="E5" s="15" t="n">
        <f aca="false">C5-D5</f>
        <v>19.75</v>
      </c>
      <c r="F5" s="15" t="n">
        <f aca="false">B5-(C5-D5)</f>
        <v>0.699999999999999</v>
      </c>
    </row>
    <row r="6" customFormat="false" ht="15" hidden="false" customHeight="false" outlineLevel="0" collapsed="false">
      <c r="A6" s="7" t="s">
        <v>20</v>
      </c>
      <c r="B6" s="15" t="n">
        <v>15.87</v>
      </c>
      <c r="C6" s="15" t="n">
        <v>15.3</v>
      </c>
      <c r="D6" s="15" t="n">
        <v>0.05</v>
      </c>
      <c r="E6" s="15" t="n">
        <f aca="false">C6-D6</f>
        <v>15.25</v>
      </c>
      <c r="F6" s="15" t="n">
        <f aca="false">B6-(C6-D6)</f>
        <v>0.619999999999999</v>
      </c>
    </row>
    <row r="7" customFormat="false" ht="15" hidden="false" customHeight="false" outlineLevel="0" collapsed="false">
      <c r="A7" s="7" t="s">
        <v>21</v>
      </c>
      <c r="B7" s="15" t="n">
        <v>8.38</v>
      </c>
      <c r="C7" s="15" t="n">
        <v>8.02</v>
      </c>
      <c r="D7" s="15" t="n">
        <v>0.02</v>
      </c>
      <c r="E7" s="15" t="n">
        <f aca="false">C7-D7</f>
        <v>8</v>
      </c>
      <c r="F7" s="15" t="n">
        <f aca="false">B7-(C7-D7)</f>
        <v>0.380000000000001</v>
      </c>
    </row>
    <row r="8" customFormat="false" ht="15" hidden="false" customHeight="false" outlineLevel="0" collapsed="false">
      <c r="A8" s="7" t="s">
        <v>22</v>
      </c>
      <c r="B8" s="15" t="n">
        <v>31.2</v>
      </c>
      <c r="C8" s="15" t="n">
        <v>30.25</v>
      </c>
      <c r="D8" s="15" t="n">
        <v>0.1</v>
      </c>
      <c r="E8" s="15" t="n">
        <f aca="false">C8-D8</f>
        <v>30.15</v>
      </c>
      <c r="F8" s="15" t="n">
        <f aca="false">B8-(C8-D8)</f>
        <v>1.05</v>
      </c>
    </row>
    <row r="9" customFormat="false" ht="15" hidden="false" customHeight="false" outlineLevel="0" collapsed="false">
      <c r="A9" s="7" t="s">
        <v>23</v>
      </c>
      <c r="B9" s="15" t="n">
        <v>12.6</v>
      </c>
      <c r="C9" s="15" t="n">
        <v>12.22</v>
      </c>
      <c r="D9" s="15" t="n">
        <v>0.02</v>
      </c>
      <c r="E9" s="15" t="n">
        <f aca="false">C9-D9</f>
        <v>12.2</v>
      </c>
      <c r="F9" s="15" t="n">
        <f aca="false">B9-(C9-D9)</f>
        <v>0.399999999999999</v>
      </c>
    </row>
    <row r="10" customFormat="false" ht="15" hidden="false" customHeight="false" outlineLevel="0" collapsed="false">
      <c r="A10" s="7" t="s">
        <v>24</v>
      </c>
      <c r="B10" s="15" t="n">
        <v>5.75</v>
      </c>
      <c r="C10" s="15" t="n">
        <v>5.52</v>
      </c>
      <c r="D10" s="15" t="n">
        <v>0.01</v>
      </c>
      <c r="E10" s="15" t="n">
        <f aca="false">C10-D10</f>
        <v>5.51</v>
      </c>
      <c r="F10" s="15" t="n">
        <f aca="false">B10-(C10-D10)</f>
        <v>0.24</v>
      </c>
    </row>
    <row r="16" customFormat="false" ht="15" hidden="false" customHeight="false" outlineLevel="0" collapsed="false">
      <c r="A16" s="12" t="s">
        <v>38</v>
      </c>
    </row>
    <row r="17" customFormat="false" ht="15" hidden="false" customHeight="false" outlineLevel="0" collapsed="false">
      <c r="A17" s="7" t="n">
        <v>1</v>
      </c>
      <c r="B17" s="7" t="s">
        <v>19</v>
      </c>
    </row>
    <row r="18" customFormat="false" ht="15" hidden="false" customHeight="false" outlineLevel="0" collapsed="false">
      <c r="A18" s="7" t="n">
        <v>2</v>
      </c>
      <c r="B18" s="7" t="s">
        <v>39</v>
      </c>
    </row>
    <row r="19" customFormat="false" ht="15" hidden="false" customHeight="false" outlineLevel="0" collapsed="false">
      <c r="A19" s="7" t="n">
        <v>3</v>
      </c>
      <c r="B19" s="7" t="s">
        <v>40</v>
      </c>
    </row>
    <row r="20" customFormat="false" ht="15" hidden="false" customHeight="false" outlineLevel="0" collapsed="false">
      <c r="A20" s="7" t="n">
        <v>4</v>
      </c>
      <c r="B20" s="7" t="s">
        <v>39</v>
      </c>
    </row>
    <row r="21" customFormat="false" ht="15" hidden="false" customHeight="false" outlineLevel="0" collapsed="false">
      <c r="A21" s="7" t="n">
        <v>5</v>
      </c>
      <c r="B21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